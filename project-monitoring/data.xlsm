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orkflow" sheetId="1" r:id="rId5"/>
    <sheet state="visible" name="Project" sheetId="2" r:id="rId6"/>
    <sheet state="visible" name="Action Log" sheetId="3" r:id="rId7"/>
    <sheet state="visible" name="Historical Record" sheetId="4" r:id="rId8"/>
  </sheets>
  <definedNames/>
  <calcPr/>
  <extLst>
    <ext uri="GoogleSheetsCustomDataVersion1">
      <go:sheetsCustomData xmlns:go="http://customooxmlschemas.google.com/" r:id="rId9" roundtripDataSignature="AMtx7mgS6IidXhEX4enhsGZW289Yq8p/NA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C1">
      <text>
        <t xml:space="preserve">======
ID#AAAAKFEziMU
Bruno Silva Devesa    (2020-08-09 22:07:47)
PREENCHER COM GRAFIA CORRETA. SE A COR NÃO MUDAR, ALGO ESTÁ ERRADO.</t>
      </text>
    </comment>
    <comment authorId="0" ref="I1">
      <text>
        <t xml:space="preserve">======
ID#AAAAKFEziMQ
Bruno Silva Devesa    (2020-08-09 22:07:47)
Bruno Silva Devesa:</t>
      </text>
    </comment>
  </commentList>
  <extLst>
    <ext uri="GoogleSheetsCustomDataVersion1">
      <go:sheetsCustomData xmlns:go="http://customooxmlschemas.google.com/" r:id="rId1" roundtripDataSignature="AMtx7miqBw/5/aDynrFitjDJD3H8xsnKcw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C1">
      <text>
        <t xml:space="preserve">======
ID#AAAAKFEziMM
Bruno Silva Devesa    (2020-08-09 22:07:47)
PREENCHER COM GRAFIA CORRETA. SE A COR NÃO MUDAR, ALGO ESTÁ ERRADO.</t>
      </text>
    </comment>
  </commentList>
  <extLst>
    <ext uri="GoogleSheetsCustomDataVersion1">
      <go:sheetsCustomData xmlns:go="http://customooxmlschemas.google.com/" r:id="rId1" roundtripDataSignature="AMtx7mjngSJVYPxkSWj+ei4Tf3bhbvvKcg=="/>
    </ext>
  </extLst>
</comments>
</file>

<file path=xl/sharedStrings.xml><?xml version="1.0" encoding="utf-8"?>
<sst xmlns="http://schemas.openxmlformats.org/spreadsheetml/2006/main" count="3042" uniqueCount="174">
  <si>
    <t>INSTRUÇÕES:</t>
  </si>
  <si>
    <t>Ao clicar no botão "Registrar Histórico". Os dados do dia são registrados na aba "Registro Histórico" para criação dos gráficos no Power BI.</t>
  </si>
  <si>
    <t>Caso o histórico não for registrado manualmente por dois dias, ele será registrado automaticamente no próximo salvamento da planilha</t>
  </si>
  <si>
    <t>FLUXO DE AÇÕES</t>
  </si>
  <si>
    <t>INTERNO</t>
  </si>
  <si>
    <t>SG PHASE</t>
  </si>
  <si>
    <t>Requisião experiência</t>
  </si>
  <si>
    <t>Bruno</t>
  </si>
  <si>
    <t>Registro experiência</t>
  </si>
  <si>
    <t>Adriane</t>
  </si>
  <si>
    <t>Abrir GD</t>
  </si>
  <si>
    <t>Hugo / Lucas</t>
  </si>
  <si>
    <t>Pesagem do pó</t>
  </si>
  <si>
    <t>Edicarlos</t>
  </si>
  <si>
    <t>Produção</t>
  </si>
  <si>
    <t>João Pedro/Thiago</t>
  </si>
  <si>
    <t>Análise C.Q. soldabilidade</t>
  </si>
  <si>
    <t>Rodrigo</t>
  </si>
  <si>
    <t>Análise química</t>
  </si>
  <si>
    <t>Adriane/Valéria</t>
  </si>
  <si>
    <t>DG PHASE</t>
  </si>
  <si>
    <t>Criar SKU</t>
  </si>
  <si>
    <t>Criar roteiro, L.T. e I.F.</t>
  </si>
  <si>
    <t>Thiago</t>
  </si>
  <si>
    <t>Criar certificado e visões de qualidade (informar classificação consumível)</t>
  </si>
  <si>
    <t>Criar visões MRP</t>
  </si>
  <si>
    <t>Cálculo de perdas nominais (placa revestimento)</t>
  </si>
  <si>
    <t>Criar visões de custos</t>
  </si>
  <si>
    <t>Setor de Custos</t>
  </si>
  <si>
    <t>Criar código embalagem</t>
  </si>
  <si>
    <t>Artwork e embalagem</t>
  </si>
  <si>
    <t>Marcos</t>
  </si>
  <si>
    <t>Criar etiqueta</t>
  </si>
  <si>
    <t>Fábio</t>
  </si>
  <si>
    <t>Tabela de Preço</t>
  </si>
  <si>
    <t>Matheus</t>
  </si>
  <si>
    <t>PDS</t>
  </si>
  <si>
    <t>Maurício</t>
  </si>
  <si>
    <t>VG PHASE</t>
  </si>
  <si>
    <t>Embalo de produção</t>
  </si>
  <si>
    <t>Envio de produção para cliente</t>
  </si>
  <si>
    <t>Verificar se cliente já testou</t>
  </si>
  <si>
    <t>Finalizado</t>
  </si>
  <si>
    <t>EXTERNO</t>
  </si>
  <si>
    <t>Agendar Soldabilidade Process Centre</t>
  </si>
  <si>
    <t>Teste de soldabilidade P.C.</t>
  </si>
  <si>
    <t>Bruno / Soldador</t>
  </si>
  <si>
    <t>Produção relatório</t>
  </si>
  <si>
    <t>Envio amostras para análise química</t>
  </si>
  <si>
    <t>Validação relatório</t>
  </si>
  <si>
    <t>Ricardo/Matheus/Rodrigo</t>
  </si>
  <si>
    <t>Cálculos custos de internação</t>
  </si>
  <si>
    <t>Sourcing</t>
  </si>
  <si>
    <t>José</t>
  </si>
  <si>
    <t>Envio de artwork e etiqueta para o fornecedor</t>
  </si>
  <si>
    <t>Gestão de Produtos</t>
  </si>
  <si>
    <t>Aprovação artwork e etiqueta</t>
  </si>
  <si>
    <t>BOTÕES</t>
  </si>
  <si>
    <t>PROJECT</t>
  </si>
  <si>
    <t>STATUS</t>
  </si>
  <si>
    <t>Expected demand (kg/month)</t>
  </si>
  <si>
    <t>Sale Price (R$/Kg)</t>
  </si>
  <si>
    <t>START DATE</t>
  </si>
  <si>
    <t>END DATE</t>
  </si>
  <si>
    <t>FINAL COMMENTS</t>
  </si>
  <si>
    <t>RG PHASE ALERT</t>
  </si>
  <si>
    <t>X</t>
  </si>
  <si>
    <t>One</t>
  </si>
  <si>
    <t>IN PROGRESS</t>
  </si>
  <si>
    <t>Alpha</t>
  </si>
  <si>
    <t>Beta</t>
  </si>
  <si>
    <t>Gama</t>
  </si>
  <si>
    <t>Produto com maior dureza, para aplicação em rodetes na indústria sucroalcooleira.</t>
  </si>
  <si>
    <t>Omega</t>
  </si>
  <si>
    <t>Two</t>
  </si>
  <si>
    <t>COMPLETED</t>
  </si>
  <si>
    <t>Apesar de testes de taxas de deposição mostrarem que a última experiência com nome "Phi" foi a que obteve melhor rendimento, após visita do Peru, foi decidico pelo lançamento do produto como na 3ª experiência Two.</t>
  </si>
  <si>
    <t>Three</t>
  </si>
  <si>
    <t>Produto aprovado. Código implementado.</t>
  </si>
  <si>
    <t>Bazillion</t>
  </si>
  <si>
    <t>Os nossos fluxos já foram aprovados. Projeto suspenso até que o CAPEX para compra da máquina de Block Pack seja aprovada.</t>
  </si>
  <si>
    <t>Teta</t>
  </si>
  <si>
    <t>Fórmulas com custo reduzido implementadas.</t>
  </si>
  <si>
    <t>Zeta</t>
  </si>
  <si>
    <t>SKUs foram reaproveitados. Alteração do fornecedor de Acme para Becme.</t>
  </si>
  <si>
    <t>Lambda</t>
  </si>
  <si>
    <t>Four</t>
  </si>
  <si>
    <t>Sku implementado. Produtos sendo vendidos</t>
  </si>
  <si>
    <t>Five</t>
  </si>
  <si>
    <t>Produto lançado. Página dedicada incluida no site da EMPRESA. Apresentado em feira de exposição.</t>
  </si>
  <si>
    <t>Six</t>
  </si>
  <si>
    <t>Transição para uso dos códigos novos completada. Trabalho de phase-out continuou sendo realizado até o fim do ano de 2019.</t>
  </si>
  <si>
    <t>Seven</t>
  </si>
  <si>
    <t>Barricas já sendo utilizadas. Última remessa no código antigo chegou na semana 35 de 2019.</t>
  </si>
  <si>
    <t>Eight</t>
  </si>
  <si>
    <t>Última remessa de compra chegou na EMPRESA. Este fornecedor será em seguida substituido por outro, Acme.</t>
  </si>
  <si>
    <t>Octa</t>
  </si>
  <si>
    <t>Nona</t>
  </si>
  <si>
    <t>Penta</t>
  </si>
  <si>
    <t>Treta</t>
  </si>
  <si>
    <t>Bi</t>
  </si>
  <si>
    <t>Mono</t>
  </si>
  <si>
    <t>Tri</t>
  </si>
  <si>
    <t>CANCELLED</t>
  </si>
  <si>
    <t>O produto ficou bom, porém não se encaixou entre o Cecme e o Decme, ficando com qualidade muito próxima do Cecme.</t>
  </si>
  <si>
    <t>Deca</t>
  </si>
  <si>
    <t xml:space="preserve">O produto, apesar de boa soldabilidade e propriedades mecênicas, não atendeu ao processo utilizado pelo cliente. Houve inclusão de escória devido ao processo robotizado com multipasses. O desenvolimento foi repassado para o time global. </t>
  </si>
  <si>
    <t>Septa</t>
  </si>
  <si>
    <t>Sem previsão, os dois estaleiros estão parados, sem atividades.​</t>
  </si>
  <si>
    <t>Tau</t>
  </si>
  <si>
    <t>Cliente sem janela para testes.</t>
  </si>
  <si>
    <t>Nine</t>
  </si>
  <si>
    <t>Ten</t>
  </si>
  <si>
    <t>O clinete está se mudando e por isso suspendeu homologações entre outros.</t>
  </si>
  <si>
    <t>Project</t>
  </si>
  <si>
    <t>Status</t>
  </si>
  <si>
    <t>Action</t>
  </si>
  <si>
    <t>Phase</t>
  </si>
  <si>
    <t>Who Leads</t>
  </si>
  <si>
    <t>Start date</t>
  </si>
  <si>
    <t>Due Date</t>
  </si>
  <si>
    <t>Completed On</t>
  </si>
  <si>
    <t>Implementar R.A.E.</t>
  </si>
  <si>
    <t>DG</t>
  </si>
  <si>
    <t>Elder</t>
  </si>
  <si>
    <t>Criar R.A.E.</t>
  </si>
  <si>
    <t>Ricardo</t>
  </si>
  <si>
    <t>Testes de qualidade</t>
  </si>
  <si>
    <t>SG</t>
  </si>
  <si>
    <t>Testes taxa de deposição</t>
  </si>
  <si>
    <t>Confirmar se análise finalizada</t>
  </si>
  <si>
    <t>Criar certificado de qualidade (informar classificação consumível)</t>
  </si>
  <si>
    <t>Valéria</t>
  </si>
  <si>
    <t>Hugo</t>
  </si>
  <si>
    <t>Warley</t>
  </si>
  <si>
    <t>Fazer análise de qualidade</t>
  </si>
  <si>
    <t>Requisição de experiência</t>
  </si>
  <si>
    <t>Sávio</t>
  </si>
  <si>
    <t>Fazer análise de soldabilidade</t>
  </si>
  <si>
    <t>Pesagem de pó</t>
  </si>
  <si>
    <t>Lucas</t>
  </si>
  <si>
    <t>Requisição de nova experiência</t>
  </si>
  <si>
    <t>Nova produção</t>
  </si>
  <si>
    <t>VG</t>
  </si>
  <si>
    <t>Reunião Ricardo + cliente</t>
  </si>
  <si>
    <t>Teste no cliente</t>
  </si>
  <si>
    <t>Primeira Produção</t>
  </si>
  <si>
    <t>Produzir relatório</t>
  </si>
  <si>
    <t>Registro de Experiência</t>
  </si>
  <si>
    <t>Ensaio mecânico Sharpy</t>
  </si>
  <si>
    <t>Bobinamento e embalo</t>
  </si>
  <si>
    <t>Ensaio mecânico tração</t>
  </si>
  <si>
    <t>Alexsson</t>
  </si>
  <si>
    <t>Confirmar se reunião de Sorcing ocorreu</t>
  </si>
  <si>
    <t>Criar visão de custos</t>
  </si>
  <si>
    <t>Confirmar criação de I.F</t>
  </si>
  <si>
    <t>Inserir perdas nominais</t>
  </si>
  <si>
    <t>Criar sku</t>
  </si>
  <si>
    <t>Plano de controle</t>
  </si>
  <si>
    <t>Programa de inspeção</t>
  </si>
  <si>
    <t>Roterio, I.F., L.T</t>
  </si>
  <si>
    <t>Visão MRP</t>
  </si>
  <si>
    <t>Produçãio</t>
  </si>
  <si>
    <t>Programar Fabricação</t>
  </si>
  <si>
    <t>Análise taxa de deposição</t>
  </si>
  <si>
    <t>Enchimentos para análise química e dureza</t>
  </si>
  <si>
    <t>Iniciar nova experiência</t>
  </si>
  <si>
    <t>Testes soldabilidade Process Centre</t>
  </si>
  <si>
    <t>Criação de carimbo</t>
  </si>
  <si>
    <t>CAPEX para compra de máquina</t>
  </si>
  <si>
    <t>Claudiney</t>
  </si>
  <si>
    <t>Enchimentos para análise química e de dureza solicitados</t>
  </si>
  <si>
    <t>DATE</t>
  </si>
  <si>
    <t>Esta tabela pode ser modificada para ajustes do histórico e como ele aparece no Power BI.
Para que a macro funcione é importante não modificar a ordem e o nome das colunas, e sempre manter pelo menos uma linha preenchida com data, nome e status de projeto. Caso queira modificar, revise a macro.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</si>
</sst>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_-&quot;R$&quot;* #,##0.00_-;\-&quot;R$&quot;* #,##0.00_-;_-&quot;R$&quot;* &quot;-&quot;??_-;_-@"/>
  </numFmts>
  <fonts count="10">
    <font>
      <sz val="11.0"/>
      <color theme="1"/>
      <name val="Calibri"/>
      <scheme val="minor"/>
    </font>
    <font>
      <b/>
      <sz val="14.0"/>
      <color theme="1"/>
      <name val="Calibri"/>
    </font>
    <font>
      <sz val="11.0"/>
      <color theme="1"/>
      <name val="Calibri"/>
    </font>
    <font>
      <b/>
      <u/>
      <sz val="14.0"/>
      <color theme="1"/>
      <name val="Calibri"/>
    </font>
    <font>
      <b/>
      <sz val="12.0"/>
      <color theme="1"/>
      <name val="Calibri"/>
    </font>
    <font>
      <b/>
      <sz val="11.0"/>
      <color theme="1"/>
      <name val="Calibri"/>
    </font>
    <font>
      <sz val="11.0"/>
      <color rgb="FFBFBFBF"/>
      <name val="Calibri"/>
    </font>
    <font>
      <sz val="11.0"/>
      <color theme="7"/>
      <name val="Calibri"/>
    </font>
    <font>
      <sz val="11.0"/>
      <color rgb="FFFF0000"/>
      <name val="Calibri"/>
    </font>
    <font/>
  </fonts>
  <fills count="6">
    <fill>
      <patternFill patternType="none"/>
    </fill>
    <fill>
      <patternFill patternType="lightGray"/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  <fill>
      <patternFill patternType="solid">
        <fgColor rgb="FFE7E6E6"/>
        <bgColor rgb="FFE7E6E6"/>
      </patternFill>
    </fill>
    <fill>
      <patternFill patternType="solid">
        <fgColor rgb="FFFFFF00"/>
        <bgColor rgb="FFFFFF00"/>
      </patternFill>
    </fill>
  </fills>
  <borders count="23">
    <border/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/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83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0" fontId="2" numFmtId="0" xfId="0" applyFont="1"/>
    <xf borderId="0" fillId="0" fontId="2" numFmtId="0" xfId="0" applyAlignment="1" applyFont="1">
      <alignment horizontal="left"/>
    </xf>
    <xf borderId="0" fillId="0" fontId="3" numFmtId="0" xfId="0" applyFont="1"/>
    <xf borderId="2" fillId="0" fontId="4" numFmtId="0" xfId="0" applyAlignment="1" applyBorder="1" applyFont="1">
      <alignment vertical="top"/>
    </xf>
    <xf borderId="2" fillId="0" fontId="5" numFmtId="0" xfId="0" applyAlignment="1" applyBorder="1" applyFont="1">
      <alignment horizontal="left"/>
    </xf>
    <xf borderId="3" fillId="0" fontId="2" numFmtId="0" xfId="0" applyAlignment="1" applyBorder="1" applyFont="1">
      <alignment horizontal="left" vertical="center"/>
    </xf>
    <xf borderId="4" fillId="0" fontId="4" numFmtId="0" xfId="0" applyAlignment="1" applyBorder="1" applyFont="1">
      <alignment vertical="top"/>
    </xf>
    <xf borderId="4" fillId="0" fontId="2" numFmtId="0" xfId="0" applyBorder="1" applyFont="1"/>
    <xf borderId="3" fillId="0" fontId="2" numFmtId="0" xfId="0" applyBorder="1" applyFont="1"/>
    <xf borderId="5" fillId="0" fontId="2" numFmtId="0" xfId="0" applyBorder="1" applyFont="1"/>
    <xf borderId="0" fillId="0" fontId="5" numFmtId="0" xfId="0" applyAlignment="1" applyFont="1">
      <alignment horizontal="left"/>
    </xf>
    <xf borderId="5" fillId="0" fontId="4" numFmtId="0" xfId="0" applyAlignment="1" applyBorder="1" applyFont="1">
      <alignment vertical="top"/>
    </xf>
    <xf borderId="6" fillId="0" fontId="2" numFmtId="0" xfId="0" applyAlignment="1" applyBorder="1" applyFont="1">
      <alignment horizontal="left" vertical="center"/>
    </xf>
    <xf borderId="0" fillId="0" fontId="4" numFmtId="0" xfId="0" applyAlignment="1" applyFont="1">
      <alignment vertical="top"/>
    </xf>
    <xf borderId="6" fillId="0" fontId="2" numFmtId="0" xfId="0" applyBorder="1" applyFont="1"/>
    <xf borderId="0" fillId="0" fontId="5" numFmtId="0" xfId="0" applyFont="1"/>
    <xf quotePrefix="1" borderId="7" fillId="2" fontId="5" numFmtId="0" xfId="0" applyAlignment="1" applyBorder="1" applyFill="1" applyFont="1">
      <alignment horizontal="center" vertical="center"/>
    </xf>
    <xf borderId="8" fillId="0" fontId="5" numFmtId="14" xfId="0" applyAlignment="1" applyBorder="1" applyFont="1" applyNumberFormat="1">
      <alignment horizontal="left" vertical="center"/>
    </xf>
    <xf borderId="5" fillId="0" fontId="5" numFmtId="0" xfId="0" applyAlignment="1" applyBorder="1" applyFont="1">
      <alignment horizontal="center" vertical="center"/>
    </xf>
    <xf borderId="5" fillId="0" fontId="5" numFmtId="3" xfId="0" applyAlignment="1" applyBorder="1" applyFont="1" applyNumberFormat="1">
      <alignment horizontal="left" vertical="center"/>
    </xf>
    <xf borderId="5" fillId="0" fontId="5" numFmtId="164" xfId="0" applyAlignment="1" applyBorder="1" applyFont="1" applyNumberFormat="1">
      <alignment horizontal="left" vertical="center"/>
    </xf>
    <xf borderId="9" fillId="3" fontId="5" numFmtId="14" xfId="0" applyAlignment="1" applyBorder="1" applyFill="1" applyFont="1" applyNumberFormat="1">
      <alignment horizontal="center" vertical="center"/>
    </xf>
    <xf borderId="5" fillId="0" fontId="5" numFmtId="14" xfId="0" applyAlignment="1" applyBorder="1" applyFont="1" applyNumberFormat="1">
      <alignment horizontal="center"/>
    </xf>
    <xf borderId="10" fillId="4" fontId="5" numFmtId="0" xfId="0" applyAlignment="1" applyBorder="1" applyFill="1" applyFont="1">
      <alignment horizontal="center"/>
    </xf>
    <xf borderId="7" fillId="3" fontId="5" numFmtId="0" xfId="0" applyBorder="1" applyFont="1"/>
    <xf quotePrefix="1" borderId="7" fillId="2" fontId="6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 vertical="center"/>
    </xf>
    <xf borderId="3" fillId="0" fontId="2" numFmtId="3" xfId="0" applyAlignment="1" applyBorder="1" applyFont="1" applyNumberFormat="1">
      <alignment horizontal="center" vertical="center"/>
    </xf>
    <xf borderId="3" fillId="0" fontId="2" numFmtId="164" xfId="0" applyAlignment="1" applyBorder="1" applyFont="1" applyNumberFormat="1">
      <alignment horizontal="center" vertical="center"/>
    </xf>
    <xf borderId="3" fillId="3" fontId="2" numFmtId="14" xfId="0" applyAlignment="1" applyBorder="1" applyFont="1" applyNumberFormat="1">
      <alignment horizontal="center" vertical="center"/>
    </xf>
    <xf borderId="3" fillId="0" fontId="2" numFmtId="14" xfId="0" applyAlignment="1" applyBorder="1" applyFont="1" applyNumberFormat="1">
      <alignment horizontal="center"/>
    </xf>
    <xf borderId="3" fillId="0" fontId="2" numFmtId="14" xfId="0" applyAlignment="1" applyBorder="1" applyFont="1" applyNumberFormat="1">
      <alignment horizontal="left"/>
    </xf>
    <xf borderId="11" fillId="4" fontId="2" numFmtId="0" xfId="0" applyAlignment="1" applyBorder="1" applyFont="1">
      <alignment horizontal="center"/>
    </xf>
    <xf borderId="7" fillId="3" fontId="2" numFmtId="0" xfId="0" applyBorder="1" applyFont="1"/>
    <xf borderId="7" fillId="3" fontId="2" numFmtId="0" xfId="0" applyAlignment="1" applyBorder="1" applyFont="1">
      <alignment horizontal="left"/>
    </xf>
    <xf borderId="7" fillId="3" fontId="2" numFmtId="14" xfId="0" applyAlignment="1" applyBorder="1" applyFont="1" applyNumberFormat="1">
      <alignment horizontal="center"/>
    </xf>
    <xf borderId="3" fillId="3" fontId="2" numFmtId="14" xfId="0" applyAlignment="1" applyBorder="1" applyFont="1" applyNumberFormat="1">
      <alignment horizontal="center" readingOrder="0" vertical="center"/>
    </xf>
    <xf borderId="3" fillId="0" fontId="2" numFmtId="0" xfId="0" applyAlignment="1" applyBorder="1" applyFont="1">
      <alignment horizontal="left"/>
    </xf>
    <xf borderId="7" fillId="3" fontId="7" numFmtId="0" xfId="0" applyAlignment="1" applyBorder="1" applyFont="1">
      <alignment horizontal="left"/>
    </xf>
    <xf borderId="3" fillId="0" fontId="2" numFmtId="14" xfId="0" applyAlignment="1" applyBorder="1" applyFont="1" applyNumberFormat="1">
      <alignment horizontal="center" readingOrder="0"/>
    </xf>
    <xf borderId="7" fillId="2" fontId="6" numFmtId="0" xfId="0" applyAlignment="1" applyBorder="1" applyFont="1">
      <alignment horizontal="center" vertical="center"/>
    </xf>
    <xf borderId="12" fillId="0" fontId="2" numFmtId="0" xfId="0" applyAlignment="1" applyBorder="1" applyFont="1">
      <alignment horizontal="left" vertical="center"/>
    </xf>
    <xf borderId="2" fillId="0" fontId="2" numFmtId="0" xfId="0" applyAlignment="1" applyBorder="1" applyFont="1">
      <alignment horizontal="center" vertical="center"/>
    </xf>
    <xf borderId="2" fillId="0" fontId="2" numFmtId="3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vertical="center"/>
    </xf>
    <xf borderId="13" fillId="3" fontId="2" numFmtId="14" xfId="0" applyAlignment="1" applyBorder="1" applyFont="1" applyNumberFormat="1">
      <alignment horizontal="center" readingOrder="0" vertical="center"/>
    </xf>
    <xf borderId="2" fillId="0" fontId="2" numFmtId="14" xfId="0" applyAlignment="1" applyBorder="1" applyFont="1" applyNumberFormat="1">
      <alignment horizontal="center"/>
    </xf>
    <xf borderId="2" fillId="0" fontId="2" numFmtId="0" xfId="0" applyAlignment="1" applyBorder="1" applyFont="1">
      <alignment horizontal="left"/>
    </xf>
    <xf borderId="14" fillId="4" fontId="2" numFmtId="0" xfId="0" applyAlignment="1" applyBorder="1" applyFont="1">
      <alignment horizontal="center"/>
    </xf>
    <xf borderId="7" fillId="2" fontId="5" numFmtId="0" xfId="0" applyAlignment="1" applyBorder="1" applyFont="1">
      <alignment horizontal="center"/>
    </xf>
    <xf borderId="15" fillId="5" fontId="5" numFmtId="0" xfId="0" applyAlignment="1" applyBorder="1" applyFill="1" applyFont="1">
      <alignment horizontal="center" vertical="center"/>
    </xf>
    <xf borderId="9" fillId="5" fontId="5" numFmtId="0" xfId="0" applyAlignment="1" applyBorder="1" applyFont="1">
      <alignment horizontal="center" vertical="center"/>
    </xf>
    <xf borderId="9" fillId="5" fontId="5" numFmtId="14" xfId="0" applyAlignment="1" applyBorder="1" applyFont="1" applyNumberFormat="1">
      <alignment horizontal="center" vertical="center"/>
    </xf>
    <xf borderId="7" fillId="2" fontId="2" numFmtId="0" xfId="0" applyBorder="1" applyFont="1"/>
    <xf borderId="6" fillId="0" fontId="2" numFmtId="0" xfId="0" applyAlignment="1" applyBorder="1" applyFont="1">
      <alignment horizontal="center" shrinkToFit="0" vertical="center" wrapText="1"/>
    </xf>
    <xf borderId="3" fillId="4" fontId="2" numFmtId="0" xfId="0" applyAlignment="1" applyBorder="1" applyFont="1">
      <alignment horizontal="center" vertical="center"/>
    </xf>
    <xf borderId="3" fillId="3" fontId="2" numFmtId="0" xfId="0" applyAlignment="1" applyBorder="1" applyFont="1">
      <alignment horizontal="left" vertical="center"/>
    </xf>
    <xf borderId="3" fillId="0" fontId="2" numFmtId="0" xfId="0" applyAlignment="1" applyBorder="1" applyFont="1">
      <alignment horizontal="center" shrinkToFit="0" vertical="center" wrapText="1"/>
    </xf>
    <xf borderId="5" fillId="0" fontId="2" numFmtId="0" xfId="0" applyAlignment="1" applyBorder="1" applyFont="1">
      <alignment horizontal="left" vertical="center"/>
    </xf>
    <xf borderId="3" fillId="0" fontId="2" numFmtId="14" xfId="0" applyAlignment="1" applyBorder="1" applyFont="1" applyNumberFormat="1">
      <alignment horizontal="center" vertical="center"/>
    </xf>
    <xf borderId="3" fillId="3" fontId="2" numFmtId="0" xfId="0" applyBorder="1" applyFont="1"/>
    <xf borderId="5" fillId="0" fontId="2" numFmtId="0" xfId="0" applyAlignment="1" applyBorder="1" applyFont="1">
      <alignment horizontal="center" shrinkToFit="0" vertical="center" wrapText="1"/>
    </xf>
    <xf borderId="3" fillId="3" fontId="2" numFmtId="0" xfId="0" applyAlignment="1" applyBorder="1" applyFont="1">
      <alignment horizontal="left"/>
    </xf>
    <xf borderId="3" fillId="0" fontId="2" numFmtId="0" xfId="0" applyAlignment="1" applyBorder="1" applyFont="1">
      <alignment horizontal="left" shrinkToFit="0" vertical="center" wrapText="1"/>
    </xf>
    <xf borderId="16" fillId="3" fontId="2" numFmtId="0" xfId="0" applyBorder="1" applyFont="1"/>
    <xf borderId="12" fillId="0" fontId="2" numFmtId="0" xfId="0" applyAlignment="1" applyBorder="1" applyFont="1">
      <alignment horizontal="center" shrinkToFit="0" vertical="center" wrapText="1"/>
    </xf>
    <xf borderId="13" fillId="3" fontId="2" numFmtId="0" xfId="0" applyBorder="1" applyFont="1"/>
    <xf borderId="2" fillId="0" fontId="2" numFmtId="0" xfId="0" applyAlignment="1" applyBorder="1" applyFont="1">
      <alignment horizontal="center" shrinkToFit="0" vertical="center" wrapText="1"/>
    </xf>
    <xf borderId="13" fillId="3" fontId="2" numFmtId="0" xfId="0" applyAlignment="1" applyBorder="1" applyFont="1">
      <alignment horizontal="left"/>
    </xf>
    <xf borderId="2" fillId="0" fontId="2" numFmtId="14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vertical="center"/>
    </xf>
    <xf borderId="3" fillId="3" fontId="5" numFmtId="14" xfId="0" applyAlignment="1" applyBorder="1" applyFont="1" applyNumberFormat="1">
      <alignment horizontal="left" vertical="center"/>
    </xf>
    <xf borderId="3" fillId="3" fontId="5" numFmtId="0" xfId="0" applyAlignment="1" applyBorder="1" applyFont="1">
      <alignment horizontal="center" vertical="center"/>
    </xf>
    <xf borderId="17" fillId="3" fontId="8" numFmtId="0" xfId="0" applyAlignment="1" applyBorder="1" applyFont="1">
      <alignment horizontal="left" shrinkToFit="0" vertical="top" wrapText="1"/>
    </xf>
    <xf borderId="18" fillId="0" fontId="9" numFmtId="0" xfId="0" applyBorder="1" applyFont="1"/>
    <xf borderId="7" fillId="3" fontId="2" numFmtId="14" xfId="0" applyBorder="1" applyFont="1" applyNumberFormat="1"/>
    <xf borderId="3" fillId="3" fontId="2" numFmtId="0" xfId="0" applyAlignment="1" applyBorder="1" applyFont="1">
      <alignment horizontal="center" vertical="center"/>
    </xf>
    <xf borderId="19" fillId="0" fontId="9" numFmtId="0" xfId="0" applyBorder="1" applyFont="1"/>
    <xf borderId="20" fillId="0" fontId="9" numFmtId="0" xfId="0" applyBorder="1" applyFont="1"/>
    <xf borderId="21" fillId="0" fontId="9" numFmtId="0" xfId="0" applyBorder="1" applyFont="1"/>
    <xf borderId="22" fillId="0" fontId="9" numFmtId="0" xfId="0" applyBorder="1" applyFont="1"/>
  </cellXfs>
  <cellStyles count="1">
    <cellStyle xfId="0" name="Normal" builtinId="0"/>
  </cellStyles>
  <dxfs count="7">
    <dxf>
      <font>
        <b/>
      </font>
      <fill>
        <patternFill patternType="solid">
          <fgColor rgb="FFFF0000"/>
          <bgColor rgb="FFFF0000"/>
        </patternFill>
      </fill>
      <border/>
    </dxf>
    <dxf>
      <font>
        <color rgb="FFFFC000"/>
      </font>
      <fill>
        <patternFill patternType="none"/>
      </fill>
      <border/>
    </dxf>
    <dxf>
      <font>
        <color rgb="FFC00000"/>
      </font>
      <fill>
        <patternFill patternType="none"/>
      </fill>
      <border/>
    </dxf>
    <dxf>
      <font>
        <color theme="9"/>
      </font>
      <fill>
        <patternFill patternType="none"/>
      </fill>
      <border/>
    </dxf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FFC000"/>
          <bgColor rgb="FFFFC000"/>
        </patternFill>
      </fill>
      <border/>
    </dxf>
    <dxf>
      <font/>
      <fill>
        <patternFill patternType="solid">
          <fgColor rgb="FFFFFF00"/>
          <bgColor rgb="FFFFFF00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6.86"/>
    <col customWidth="1" min="2" max="2" width="38.14"/>
    <col customWidth="1" min="3" max="3" width="31.43"/>
    <col customWidth="1" min="4" max="4" width="16.86"/>
    <col customWidth="1" min="5" max="5" width="18.14"/>
    <col customWidth="1" min="6" max="6" width="28.71"/>
    <col customWidth="1" min="7" max="7" width="63.57"/>
    <col customWidth="1" min="8" max="8" width="9.14"/>
    <col customWidth="1" min="9" max="26" width="8.71"/>
  </cols>
  <sheetData>
    <row r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3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3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5.75" customHeight="1"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5.0" customHeight="1">
      <c r="A7" s="4" t="s">
        <v>3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5.0" customHeight="1">
      <c r="A8" s="5" t="s">
        <v>4</v>
      </c>
      <c r="B8" s="6" t="s">
        <v>5</v>
      </c>
      <c r="C8" s="7" t="s">
        <v>6</v>
      </c>
      <c r="D8" s="7" t="s">
        <v>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5.0" customHeight="1">
      <c r="A9" s="8"/>
      <c r="B9" s="9"/>
      <c r="C9" s="7" t="s">
        <v>8</v>
      </c>
      <c r="D9" s="7" t="s">
        <v>9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5.0" customHeight="1">
      <c r="A10" s="8"/>
      <c r="B10" s="9"/>
      <c r="C10" s="10" t="s">
        <v>10</v>
      </c>
      <c r="D10" s="10" t="s">
        <v>11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0" customHeight="1">
      <c r="A11" s="8"/>
      <c r="B11" s="9"/>
      <c r="C11" s="7" t="s">
        <v>12</v>
      </c>
      <c r="D11" s="7" t="s">
        <v>13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0" customHeight="1">
      <c r="A12" s="8"/>
      <c r="B12" s="9"/>
      <c r="C12" s="7" t="s">
        <v>14</v>
      </c>
      <c r="D12" s="7" t="s">
        <v>15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0" customHeight="1">
      <c r="A13" s="8"/>
      <c r="B13" s="9"/>
      <c r="C13" s="7" t="s">
        <v>16</v>
      </c>
      <c r="D13" s="7" t="s">
        <v>17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0" customHeight="1">
      <c r="A14" s="8"/>
      <c r="B14" s="11"/>
      <c r="C14" s="7" t="s">
        <v>18</v>
      </c>
      <c r="D14" s="7" t="s">
        <v>19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0" customHeight="1">
      <c r="A15" s="8"/>
      <c r="B15" s="6" t="s">
        <v>20</v>
      </c>
      <c r="C15" s="7" t="s">
        <v>21</v>
      </c>
      <c r="D15" s="7" t="s">
        <v>7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0" customHeight="1">
      <c r="A16" s="8"/>
      <c r="B16" s="9"/>
      <c r="C16" s="7" t="s">
        <v>22</v>
      </c>
      <c r="D16" s="7" t="s">
        <v>23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0" customHeight="1">
      <c r="A17" s="8"/>
      <c r="B17" s="9"/>
      <c r="C17" s="7" t="s">
        <v>24</v>
      </c>
      <c r="D17" s="7" t="s">
        <v>9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customHeight="1">
      <c r="A18" s="8"/>
      <c r="B18" s="9"/>
      <c r="C18" s="10" t="s">
        <v>25</v>
      </c>
      <c r="D18" s="10" t="s">
        <v>11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5.0" customHeight="1">
      <c r="A19" s="8"/>
      <c r="B19" s="9"/>
      <c r="C19" s="10" t="s">
        <v>26</v>
      </c>
      <c r="D19" s="10" t="s">
        <v>23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5.0" customHeight="1">
      <c r="A20" s="8"/>
      <c r="B20" s="9"/>
      <c r="C20" s="10" t="s">
        <v>27</v>
      </c>
      <c r="D20" s="10" t="s">
        <v>28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0" customHeight="1">
      <c r="A21" s="8"/>
      <c r="B21" s="9"/>
      <c r="C21" s="10" t="s">
        <v>29</v>
      </c>
      <c r="D21" s="10" t="s">
        <v>9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0" customHeight="1">
      <c r="A22" s="8"/>
      <c r="B22" s="9"/>
      <c r="C22" s="10" t="s">
        <v>30</v>
      </c>
      <c r="D22" s="10" t="s">
        <v>31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0" customHeight="1">
      <c r="A23" s="8"/>
      <c r="B23" s="9"/>
      <c r="C23" s="10" t="s">
        <v>32</v>
      </c>
      <c r="D23" s="10" t="s">
        <v>33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0" customHeight="1">
      <c r="A24" s="8"/>
      <c r="B24" s="9"/>
      <c r="C24" s="10" t="s">
        <v>34</v>
      </c>
      <c r="D24" s="10" t="s">
        <v>35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0" customHeight="1">
      <c r="A25" s="8"/>
      <c r="B25" s="11"/>
      <c r="C25" s="10" t="s">
        <v>36</v>
      </c>
      <c r="D25" s="10" t="s">
        <v>37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0" customHeight="1">
      <c r="A26" s="8"/>
      <c r="B26" s="6" t="s">
        <v>38</v>
      </c>
      <c r="C26" s="10" t="s">
        <v>39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0" customHeight="1">
      <c r="A27" s="8"/>
      <c r="B27" s="9"/>
      <c r="C27" s="10" t="s">
        <v>40</v>
      </c>
      <c r="D27" s="1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0" customHeight="1">
      <c r="A28" s="8"/>
      <c r="B28" s="9"/>
      <c r="C28" s="10" t="s">
        <v>41</v>
      </c>
      <c r="D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0" customHeight="1">
      <c r="A29" s="13"/>
      <c r="B29" s="11"/>
      <c r="C29" s="10" t="s">
        <v>42</v>
      </c>
      <c r="D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0" customHeight="1">
      <c r="A30" s="5" t="s">
        <v>43</v>
      </c>
      <c r="B30" s="6" t="s">
        <v>5</v>
      </c>
      <c r="C30" s="14" t="s">
        <v>44</v>
      </c>
      <c r="D30" s="7" t="s">
        <v>17</v>
      </c>
      <c r="E30" s="15"/>
      <c r="F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0" customHeight="1">
      <c r="A31" s="8"/>
      <c r="B31" s="9"/>
      <c r="C31" s="16" t="s">
        <v>45</v>
      </c>
      <c r="D31" s="10" t="s">
        <v>46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0" customHeight="1">
      <c r="A32" s="8"/>
      <c r="B32" s="9"/>
      <c r="C32" s="16" t="s">
        <v>47</v>
      </c>
      <c r="D32" s="10" t="s">
        <v>7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0" customHeight="1">
      <c r="A33" s="8"/>
      <c r="B33" s="9"/>
      <c r="C33" s="16" t="s">
        <v>48</v>
      </c>
      <c r="D33" s="10" t="s">
        <v>7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0" customHeight="1">
      <c r="A34" s="8"/>
      <c r="B34" s="9"/>
      <c r="C34" s="14" t="s">
        <v>18</v>
      </c>
      <c r="D34" s="7" t="s">
        <v>19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0" customHeight="1">
      <c r="A35" s="8"/>
      <c r="B35" s="11"/>
      <c r="C35" s="16" t="s">
        <v>49</v>
      </c>
      <c r="D35" s="10" t="s">
        <v>50</v>
      </c>
      <c r="E35" s="17"/>
      <c r="F35" s="17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0" customHeight="1">
      <c r="A36" s="8"/>
      <c r="B36" s="6" t="s">
        <v>20</v>
      </c>
      <c r="C36" s="7" t="s">
        <v>21</v>
      </c>
      <c r="D36" s="7" t="s">
        <v>7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0" customHeight="1">
      <c r="A37" s="8"/>
      <c r="B37" s="9"/>
      <c r="C37" s="7" t="s">
        <v>51</v>
      </c>
      <c r="D37" s="7" t="s">
        <v>52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0" customHeight="1">
      <c r="A38" s="8"/>
      <c r="B38" s="9"/>
      <c r="C38" s="7" t="s">
        <v>24</v>
      </c>
      <c r="D38" s="7" t="s">
        <v>9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0" customHeight="1">
      <c r="A39" s="8"/>
      <c r="B39" s="9"/>
      <c r="C39" s="10" t="s">
        <v>25</v>
      </c>
      <c r="D39" s="10" t="s">
        <v>53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0" customHeight="1">
      <c r="A40" s="8"/>
      <c r="B40" s="9"/>
      <c r="C40" s="10" t="s">
        <v>27</v>
      </c>
      <c r="D40" s="10" t="s">
        <v>28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0" customHeight="1">
      <c r="A41" s="8"/>
      <c r="B41" s="9"/>
      <c r="C41" s="10" t="s">
        <v>29</v>
      </c>
      <c r="D41" s="10" t="s">
        <v>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0" customHeight="1">
      <c r="A42" s="8"/>
      <c r="B42" s="9"/>
      <c r="C42" s="10" t="s">
        <v>30</v>
      </c>
      <c r="D42" s="10" t="s">
        <v>31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0" customHeight="1">
      <c r="A43" s="8"/>
      <c r="B43" s="9"/>
      <c r="C43" s="10" t="s">
        <v>32</v>
      </c>
      <c r="D43" s="10" t="s">
        <v>33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0" customHeight="1">
      <c r="A44" s="8"/>
      <c r="B44" s="9"/>
      <c r="C44" s="10" t="s">
        <v>54</v>
      </c>
      <c r="D44" s="10" t="s">
        <v>55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8"/>
      <c r="B45" s="9"/>
      <c r="C45" s="10" t="s">
        <v>56</v>
      </c>
      <c r="D45" s="10" t="s">
        <v>55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8"/>
      <c r="B46" s="9"/>
      <c r="C46" s="10" t="s">
        <v>34</v>
      </c>
      <c r="D46" s="10" t="s">
        <v>35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8"/>
      <c r="B47" s="11"/>
      <c r="C47" s="10" t="s">
        <v>36</v>
      </c>
      <c r="D47" s="10" t="s">
        <v>37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8"/>
      <c r="B48" s="6" t="s">
        <v>38</v>
      </c>
      <c r="C48" s="10" t="s">
        <v>39</v>
      </c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8"/>
      <c r="B49" s="9"/>
      <c r="C49" s="10" t="s">
        <v>40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8"/>
      <c r="B50" s="9"/>
      <c r="C50" s="10" t="s">
        <v>41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13"/>
      <c r="B51" s="11"/>
      <c r="C51" s="10" t="s">
        <v>42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29"/>
    <col customWidth="1" min="2" max="2" width="49.14"/>
    <col customWidth="1" min="3" max="3" width="17.71"/>
    <col customWidth="1" min="4" max="5" width="14.71"/>
    <col customWidth="1" min="6" max="6" width="17.57"/>
    <col customWidth="1" min="7" max="7" width="23.0"/>
    <col customWidth="1" min="8" max="8" width="56.0"/>
    <col customWidth="1" min="9" max="9" width="22.29"/>
    <col customWidth="1" min="10" max="10" width="11.57"/>
    <col customWidth="1" min="11" max="11" width="4.29"/>
    <col customWidth="1" min="12" max="26" width="17.57"/>
  </cols>
  <sheetData>
    <row r="1">
      <c r="A1" s="18" t="s">
        <v>57</v>
      </c>
      <c r="B1" s="19" t="s">
        <v>58</v>
      </c>
      <c r="C1" s="20" t="s">
        <v>59</v>
      </c>
      <c r="D1" s="21" t="s">
        <v>60</v>
      </c>
      <c r="E1" s="22" t="s">
        <v>61</v>
      </c>
      <c r="F1" s="23" t="s">
        <v>62</v>
      </c>
      <c r="G1" s="24" t="s">
        <v>63</v>
      </c>
      <c r="H1" s="24" t="s">
        <v>64</v>
      </c>
      <c r="I1" s="25" t="s">
        <v>65</v>
      </c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>
      <c r="A2" s="27" t="s">
        <v>66</v>
      </c>
      <c r="B2" s="14" t="s">
        <v>67</v>
      </c>
      <c r="C2" s="28" t="s">
        <v>68</v>
      </c>
      <c r="D2" s="29">
        <v>200000.0</v>
      </c>
      <c r="E2" s="30">
        <v>150.0</v>
      </c>
      <c r="F2" s="31">
        <v>44540.0</v>
      </c>
      <c r="G2" s="32"/>
      <c r="H2" s="33"/>
      <c r="I2" s="34" t="str">
        <f>IF(Project!$G2="","",IF(TODAY()-Project!$G$2:$G$29&gt;365, "ON", "OFF"))</f>
        <v/>
      </c>
      <c r="J2" s="35"/>
      <c r="K2" s="36"/>
      <c r="L2" s="37"/>
      <c r="M2" s="37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>
      <c r="A3" s="27" t="s">
        <v>66</v>
      </c>
      <c r="B3" s="14" t="s">
        <v>69</v>
      </c>
      <c r="C3" s="28" t="s">
        <v>68</v>
      </c>
      <c r="D3" s="29">
        <v>500000.0</v>
      </c>
      <c r="E3" s="30">
        <v>10.0</v>
      </c>
      <c r="F3" s="31">
        <v>44534.0</v>
      </c>
      <c r="G3" s="32"/>
      <c r="H3" s="33"/>
      <c r="I3" s="34" t="str">
        <f>IF(Project!$G3="","",IF(TODAY()-Project!$G$2:$G$29&gt;365, "ON", "OFF"))</f>
        <v/>
      </c>
      <c r="J3" s="35"/>
      <c r="K3" s="36"/>
      <c r="L3" s="37"/>
      <c r="M3" s="37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</row>
    <row r="4">
      <c r="A4" s="27" t="s">
        <v>66</v>
      </c>
      <c r="B4" s="14" t="s">
        <v>70</v>
      </c>
      <c r="C4" s="28" t="s">
        <v>68</v>
      </c>
      <c r="D4" s="29">
        <v>351000.0</v>
      </c>
      <c r="E4" s="30">
        <v>50.0</v>
      </c>
      <c r="F4" s="31">
        <v>44528.0</v>
      </c>
      <c r="G4" s="32"/>
      <c r="H4" s="33"/>
      <c r="I4" s="34" t="str">
        <f>IF(Project!$G4="","",IF(TODAY()-Project!$G$2:$G$29&gt;365, "ON", "OFF"))</f>
        <v/>
      </c>
      <c r="J4" s="35"/>
      <c r="K4" s="36"/>
      <c r="L4" s="37"/>
      <c r="M4" s="37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>
      <c r="A5" s="27" t="s">
        <v>66</v>
      </c>
      <c r="B5" s="14" t="s">
        <v>71</v>
      </c>
      <c r="C5" s="28" t="s">
        <v>68</v>
      </c>
      <c r="D5" s="29">
        <v>25000.0</v>
      </c>
      <c r="E5" s="30">
        <v>48.0</v>
      </c>
      <c r="F5" s="31">
        <v>44400.0</v>
      </c>
      <c r="G5" s="32"/>
      <c r="H5" s="33" t="s">
        <v>72</v>
      </c>
      <c r="I5" s="34" t="str">
        <f>IF(Project!$G5="","",IF(TODAY()-Project!$G$2:$G$29&gt;365, "ON", "OFF"))</f>
        <v/>
      </c>
      <c r="J5" s="35"/>
      <c r="K5" s="36"/>
      <c r="L5" s="37"/>
      <c r="M5" s="37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</row>
    <row r="6">
      <c r="A6" s="27" t="s">
        <v>66</v>
      </c>
      <c r="B6" s="14" t="s">
        <v>73</v>
      </c>
      <c r="C6" s="28" t="s">
        <v>68</v>
      </c>
      <c r="D6" s="29">
        <v>321500.0</v>
      </c>
      <c r="E6" s="30">
        <v>68.0</v>
      </c>
      <c r="F6" s="38">
        <v>44119.0</v>
      </c>
      <c r="G6" s="32"/>
      <c r="H6" s="33"/>
      <c r="I6" s="34" t="str">
        <f>IF(Project!$G6="","",IF(TODAY()-Project!$G$2:$G$29&gt;365, "ON", "OFF"))</f>
        <v/>
      </c>
      <c r="J6" s="35"/>
      <c r="K6" s="36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</row>
    <row r="7">
      <c r="A7" s="27" t="s">
        <v>66</v>
      </c>
      <c r="B7" s="14" t="s">
        <v>74</v>
      </c>
      <c r="C7" s="28" t="s">
        <v>75</v>
      </c>
      <c r="D7" s="29">
        <v>32600.0</v>
      </c>
      <c r="E7" s="30">
        <v>59.0</v>
      </c>
      <c r="F7" s="31">
        <v>44504.0</v>
      </c>
      <c r="G7" s="32">
        <v>44583.0</v>
      </c>
      <c r="H7" s="39" t="s">
        <v>76</v>
      </c>
      <c r="I7" s="34" t="str">
        <f>IF(Project!$G7="","",IF(TODAY()-Project!$G$2:$G$29&gt;365, "ON", "OFF"))</f>
        <v>OFF</v>
      </c>
      <c r="J7" s="35"/>
      <c r="K7" s="36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</row>
    <row r="8">
      <c r="A8" s="27" t="s">
        <v>66</v>
      </c>
      <c r="B8" s="14" t="s">
        <v>77</v>
      </c>
      <c r="C8" s="28" t="s">
        <v>75</v>
      </c>
      <c r="D8" s="29">
        <v>158000.0</v>
      </c>
      <c r="E8" s="30">
        <v>82.0</v>
      </c>
      <c r="F8" s="31">
        <v>44522.0</v>
      </c>
      <c r="G8" s="32">
        <v>44547.0</v>
      </c>
      <c r="H8" s="33" t="s">
        <v>78</v>
      </c>
      <c r="I8" s="34" t="str">
        <f>IF(Project!$G8="","",IF(TODAY()-Project!$G$2:$G$29&gt;365, "ON", "OFF"))</f>
        <v>OFF</v>
      </c>
      <c r="J8" s="35"/>
      <c r="K8" s="36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</row>
    <row r="9">
      <c r="A9" s="27" t="s">
        <v>66</v>
      </c>
      <c r="B9" s="14" t="s">
        <v>79</v>
      </c>
      <c r="C9" s="28" t="s">
        <v>75</v>
      </c>
      <c r="D9" s="29">
        <v>658450.0</v>
      </c>
      <c r="E9" s="30">
        <v>150.0</v>
      </c>
      <c r="F9" s="31">
        <v>44452.0</v>
      </c>
      <c r="G9" s="32">
        <v>44831.0</v>
      </c>
      <c r="H9" s="33" t="s">
        <v>80</v>
      </c>
      <c r="I9" s="34" t="str">
        <f>IF(Project!$G9="","",IF(TODAY()-Project!$G$2:$G$29&gt;365, "ON", "OFF"))</f>
        <v>OFF</v>
      </c>
      <c r="J9" s="35"/>
      <c r="K9" s="36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</row>
    <row r="10">
      <c r="A10" s="27" t="s">
        <v>66</v>
      </c>
      <c r="B10" s="14" t="s">
        <v>81</v>
      </c>
      <c r="C10" s="28" t="s">
        <v>75</v>
      </c>
      <c r="D10" s="29">
        <v>14000.0</v>
      </c>
      <c r="E10" s="30">
        <v>140.0</v>
      </c>
      <c r="F10" s="31">
        <v>44378.0</v>
      </c>
      <c r="G10" s="32">
        <v>44470.0</v>
      </c>
      <c r="H10" s="33" t="s">
        <v>82</v>
      </c>
      <c r="I10" s="34" t="str">
        <f>IF(Project!$G10="","",IF(TODAY()-Project!$G$2:$G$29&gt;365, "ON", "OFF"))</f>
        <v>OFF</v>
      </c>
      <c r="J10" s="35"/>
      <c r="K10" s="36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</row>
    <row r="11">
      <c r="A11" s="27" t="s">
        <v>66</v>
      </c>
      <c r="B11" s="14" t="s">
        <v>83</v>
      </c>
      <c r="C11" s="28" t="s">
        <v>75</v>
      </c>
      <c r="D11" s="29">
        <v>22000.0</v>
      </c>
      <c r="E11" s="30">
        <v>120.0</v>
      </c>
      <c r="F11" s="31">
        <v>44317.0</v>
      </c>
      <c r="G11" s="32">
        <v>44483.0</v>
      </c>
      <c r="H11" s="39" t="s">
        <v>84</v>
      </c>
      <c r="I11" s="34" t="str">
        <f>IF(Project!$G11="","",IF(TODAY()-Project!$G$2:$G$29&gt;365, "ON", "OFF"))</f>
        <v>OFF</v>
      </c>
      <c r="J11" s="35"/>
      <c r="K11" s="40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</row>
    <row r="12">
      <c r="A12" s="27" t="s">
        <v>66</v>
      </c>
      <c r="B12" s="14" t="s">
        <v>85</v>
      </c>
      <c r="C12" s="28" t="s">
        <v>75</v>
      </c>
      <c r="D12" s="29">
        <v>183000.0</v>
      </c>
      <c r="E12" s="30">
        <v>230.0</v>
      </c>
      <c r="F12" s="31">
        <v>44317.0</v>
      </c>
      <c r="G12" s="32">
        <v>44409.0</v>
      </c>
      <c r="H12" s="33" t="s">
        <v>82</v>
      </c>
      <c r="I12" s="34" t="str">
        <f>IF(Project!$G12="","",IF(TODAY()-Project!$G$2:$G$29&gt;365, "ON", "OFF"))</f>
        <v>OFF</v>
      </c>
      <c r="J12" s="35"/>
      <c r="K12" s="36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</row>
    <row r="13">
      <c r="A13" s="27" t="s">
        <v>66</v>
      </c>
      <c r="B13" s="14" t="s">
        <v>86</v>
      </c>
      <c r="C13" s="28" t="s">
        <v>75</v>
      </c>
      <c r="D13" s="29">
        <v>10000.0</v>
      </c>
      <c r="E13" s="30">
        <f>25000/10000</f>
        <v>2.5</v>
      </c>
      <c r="F13" s="31">
        <v>44287.0</v>
      </c>
      <c r="G13" s="32">
        <v>44348.0</v>
      </c>
      <c r="H13" s="33" t="s">
        <v>87</v>
      </c>
      <c r="I13" s="34" t="str">
        <f>IF(Project!$G13="","",IF(TODAY()-Project!$G$2:$G$29&gt;365, "ON", "OFF"))</f>
        <v>ON</v>
      </c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</row>
    <row r="14">
      <c r="A14" s="27" t="s">
        <v>66</v>
      </c>
      <c r="B14" s="14" t="s">
        <v>88</v>
      </c>
      <c r="C14" s="28" t="s">
        <v>75</v>
      </c>
      <c r="D14" s="29">
        <v>336000.0</v>
      </c>
      <c r="E14" s="30">
        <v>95.0</v>
      </c>
      <c r="F14" s="31">
        <v>44280.0</v>
      </c>
      <c r="G14" s="32">
        <v>44435.0</v>
      </c>
      <c r="H14" s="39" t="s">
        <v>89</v>
      </c>
      <c r="I14" s="34" t="str">
        <f>IF(Project!$G14="","",IF(TODAY()-Project!$G$2:$G$29&gt;365, "ON", "OFF"))</f>
        <v>OFF</v>
      </c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</row>
    <row r="15">
      <c r="A15" s="27" t="s">
        <v>66</v>
      </c>
      <c r="B15" s="14" t="s">
        <v>90</v>
      </c>
      <c r="C15" s="28" t="s">
        <v>75</v>
      </c>
      <c r="D15" s="29">
        <v>500000.0</v>
      </c>
      <c r="E15" s="30">
        <f>3000000/500000</f>
        <v>6</v>
      </c>
      <c r="F15" s="31">
        <v>44256.0</v>
      </c>
      <c r="G15" s="32">
        <v>44409.0</v>
      </c>
      <c r="H15" s="33" t="s">
        <v>91</v>
      </c>
      <c r="I15" s="34" t="str">
        <f>IF(Project!$G15="","",IF(TODAY()-Project!$G$2:$G$29&gt;365, "ON", "OFF"))</f>
        <v>OFF</v>
      </c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</row>
    <row r="16">
      <c r="A16" s="27" t="s">
        <v>66</v>
      </c>
      <c r="B16" s="14" t="s">
        <v>92</v>
      </c>
      <c r="C16" s="28" t="s">
        <v>75</v>
      </c>
      <c r="D16" s="29">
        <v>63000.0</v>
      </c>
      <c r="E16" s="30">
        <f>386956.25/63000</f>
        <v>6.142162698</v>
      </c>
      <c r="F16" s="38">
        <v>44166.0</v>
      </c>
      <c r="G16" s="32">
        <v>44256.0</v>
      </c>
      <c r="H16" s="39" t="s">
        <v>93</v>
      </c>
      <c r="I16" s="34" t="str">
        <f>IF(Project!$G16="","",IF(TODAY()-Project!$G$2:$G$29&gt;365, "ON", "OFF"))</f>
        <v>ON</v>
      </c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</row>
    <row r="17">
      <c r="A17" s="27" t="s">
        <v>66</v>
      </c>
      <c r="B17" s="14" t="s">
        <v>94</v>
      </c>
      <c r="C17" s="28" t="s">
        <v>75</v>
      </c>
      <c r="D17" s="29">
        <v>2300.0</v>
      </c>
      <c r="E17" s="30">
        <f>70000/2300</f>
        <v>30.43478261</v>
      </c>
      <c r="F17" s="38">
        <v>44136.0</v>
      </c>
      <c r="G17" s="32">
        <v>44256.0</v>
      </c>
      <c r="H17" s="39" t="s">
        <v>95</v>
      </c>
      <c r="I17" s="34" t="str">
        <f>IF(Project!$G17="","",IF(TODAY()-Project!$G$2:$G$29&gt;365, "ON", "OFF"))</f>
        <v>ON</v>
      </c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</row>
    <row r="18">
      <c r="A18" s="27" t="s">
        <v>66</v>
      </c>
      <c r="B18" s="14" t="s">
        <v>96</v>
      </c>
      <c r="C18" s="28" t="s">
        <v>75</v>
      </c>
      <c r="D18" s="29">
        <v>258000.0</v>
      </c>
      <c r="E18" s="30">
        <v>25.0</v>
      </c>
      <c r="F18" s="38">
        <v>43983.0</v>
      </c>
      <c r="G18" s="41">
        <v>44105.0</v>
      </c>
      <c r="H18" s="33"/>
      <c r="I18" s="34" t="str">
        <f>IF(Project!$G18="","",IF(TODAY()-Project!$G$2:$G$29&gt;365, "ON", "OFF"))</f>
        <v>ON</v>
      </c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</row>
    <row r="19">
      <c r="A19" s="27" t="s">
        <v>66</v>
      </c>
      <c r="B19" s="14" t="s">
        <v>97</v>
      </c>
      <c r="C19" s="28" t="s">
        <v>75</v>
      </c>
      <c r="D19" s="29">
        <v>326000.0</v>
      </c>
      <c r="E19" s="30">
        <v>70.0</v>
      </c>
      <c r="F19" s="38">
        <v>43983.0</v>
      </c>
      <c r="G19" s="41">
        <v>44105.0</v>
      </c>
      <c r="H19" s="33"/>
      <c r="I19" s="34" t="str">
        <f>IF(Project!$G19="","",IF(TODAY()-Project!$G$2:$G$29&gt;365, "ON", "OFF"))</f>
        <v>ON</v>
      </c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</row>
    <row r="20">
      <c r="A20" s="27" t="s">
        <v>66</v>
      </c>
      <c r="B20" s="14" t="s">
        <v>98</v>
      </c>
      <c r="C20" s="28" t="s">
        <v>75</v>
      </c>
      <c r="D20" s="29">
        <v>12150.0</v>
      </c>
      <c r="E20" s="30">
        <f>1476273/8850</f>
        <v>166.8105085</v>
      </c>
      <c r="F20" s="38">
        <v>43922.0</v>
      </c>
      <c r="G20" s="41">
        <v>44166.0</v>
      </c>
      <c r="H20" s="33"/>
      <c r="I20" s="34" t="str">
        <f>IF(Project!$G20="","",IF(TODAY()-Project!$G$2:$G$29&gt;365, "ON", "OFF"))</f>
        <v>ON</v>
      </c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</row>
    <row r="21" ht="15.75" customHeight="1">
      <c r="A21" s="27" t="s">
        <v>66</v>
      </c>
      <c r="B21" s="14" t="s">
        <v>99</v>
      </c>
      <c r="C21" s="28" t="s">
        <v>75</v>
      </c>
      <c r="D21" s="29">
        <f>12000</f>
        <v>12000</v>
      </c>
      <c r="E21" s="30">
        <f>3397535/134740</f>
        <v>25.21548909</v>
      </c>
      <c r="F21" s="38">
        <v>43862.0</v>
      </c>
      <c r="G21" s="41">
        <v>44166.0</v>
      </c>
      <c r="H21" s="33"/>
      <c r="I21" s="34" t="str">
        <f>IF(Project!$G21="","",IF(TODAY()-Project!$G$2:$G$29&gt;365, "ON", "OFF"))</f>
        <v>ON</v>
      </c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ht="15.75" customHeight="1">
      <c r="A22" s="27" t="s">
        <v>66</v>
      </c>
      <c r="B22" s="14" t="s">
        <v>100</v>
      </c>
      <c r="C22" s="28" t="s">
        <v>75</v>
      </c>
      <c r="D22" s="29">
        <v>125000.0</v>
      </c>
      <c r="E22" s="30">
        <v>59.0</v>
      </c>
      <c r="F22" s="38">
        <v>43862.0</v>
      </c>
      <c r="G22" s="41">
        <v>44105.0</v>
      </c>
      <c r="H22" s="33"/>
      <c r="I22" s="34" t="str">
        <f>IF(Project!$G22="","",IF(TODAY()-Project!$G$2:$G$29&gt;365, "ON", "OFF"))</f>
        <v>ON</v>
      </c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ht="15.75" customHeight="1">
      <c r="A23" s="27" t="s">
        <v>66</v>
      </c>
      <c r="B23" s="14" t="s">
        <v>101</v>
      </c>
      <c r="C23" s="28" t="s">
        <v>75</v>
      </c>
      <c r="D23" s="29">
        <v>58400.0</v>
      </c>
      <c r="E23" s="30">
        <v>584.0</v>
      </c>
      <c r="F23" s="38">
        <v>43831.0</v>
      </c>
      <c r="G23" s="32">
        <v>44343.0</v>
      </c>
      <c r="H23" s="33"/>
      <c r="I23" s="34" t="str">
        <f>IF(Project!$G23="","",IF(TODAY()-Project!$G$2:$G$29&gt;365, "ON", "OFF"))</f>
        <v>ON</v>
      </c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ht="15.75" customHeight="1">
      <c r="A24" s="27" t="s">
        <v>66</v>
      </c>
      <c r="B24" s="14" t="s">
        <v>102</v>
      </c>
      <c r="C24" s="28" t="s">
        <v>103</v>
      </c>
      <c r="D24" s="29">
        <v>326900.0</v>
      </c>
      <c r="E24" s="30">
        <v>120.0</v>
      </c>
      <c r="F24" s="31">
        <v>44287.0</v>
      </c>
      <c r="G24" s="32">
        <v>44543.0</v>
      </c>
      <c r="H24" s="39" t="s">
        <v>104</v>
      </c>
      <c r="I24" s="34" t="str">
        <f>IF(Project!$G24="","",IF(TODAY()-Project!$G$2:$G$29&gt;365, "ON", "OFF"))</f>
        <v>OFF</v>
      </c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ht="15.75" customHeight="1">
      <c r="A25" s="27" t="s">
        <v>66</v>
      </c>
      <c r="B25" s="14" t="s">
        <v>105</v>
      </c>
      <c r="C25" s="28" t="s">
        <v>103</v>
      </c>
      <c r="D25" s="29">
        <v>215330.0</v>
      </c>
      <c r="E25" s="30">
        <v>130.0</v>
      </c>
      <c r="F25" s="31">
        <v>44287.0</v>
      </c>
      <c r="G25" s="32">
        <v>44531.0</v>
      </c>
      <c r="H25" s="33" t="s">
        <v>106</v>
      </c>
      <c r="I25" s="34" t="str">
        <f>IF(Project!$G25="","",IF(TODAY()-Project!$G$2:$G$29&gt;365, "ON", "OFF"))</f>
        <v>OFF</v>
      </c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</row>
    <row r="26" ht="15.75" customHeight="1">
      <c r="A26" s="27" t="s">
        <v>66</v>
      </c>
      <c r="B26" s="14" t="s">
        <v>107</v>
      </c>
      <c r="C26" s="28" t="s">
        <v>103</v>
      </c>
      <c r="D26" s="29">
        <v>2500.0</v>
      </c>
      <c r="E26" s="30">
        <v>115.0</v>
      </c>
      <c r="F26" s="38">
        <v>44136.0</v>
      </c>
      <c r="G26" s="32">
        <v>44501.0</v>
      </c>
      <c r="H26" s="33" t="s">
        <v>108</v>
      </c>
      <c r="I26" s="34" t="str">
        <f>IF(Project!$G26="","",IF(TODAY()-Project!$G$2:$G$29&gt;365, "ON", "OFF"))</f>
        <v>OFF</v>
      </c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</row>
    <row r="27" ht="15.75" customHeight="1">
      <c r="A27" s="42"/>
      <c r="B27" s="14" t="s">
        <v>109</v>
      </c>
      <c r="C27" s="28" t="s">
        <v>103</v>
      </c>
      <c r="D27" s="29">
        <v>254600.0</v>
      </c>
      <c r="E27" s="30">
        <v>148.0</v>
      </c>
      <c r="F27" s="38">
        <v>44013.0</v>
      </c>
      <c r="G27" s="32">
        <v>44256.0</v>
      </c>
      <c r="H27" s="33" t="s">
        <v>110</v>
      </c>
      <c r="I27" s="34" t="str">
        <f>IF(Project!$G27="","",IF(TODAY()-Project!$G$2:$G$29&gt;365, "ON", "OFF"))</f>
        <v>ON</v>
      </c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</row>
    <row r="28" ht="15.75" customHeight="1">
      <c r="A28" s="42"/>
      <c r="B28" s="14" t="s">
        <v>111</v>
      </c>
      <c r="C28" s="28" t="s">
        <v>103</v>
      </c>
      <c r="D28" s="29">
        <v>36200.0</v>
      </c>
      <c r="E28" s="30">
        <v>129.0</v>
      </c>
      <c r="F28" s="38">
        <v>43891.0</v>
      </c>
      <c r="G28" s="32">
        <v>44287.0</v>
      </c>
      <c r="H28" s="33"/>
      <c r="I28" s="34" t="str">
        <f>IF(Project!$G28="","",IF(TODAY()-Project!$G$2:$G$29&gt;365, "ON", "OFF"))</f>
        <v>ON</v>
      </c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</row>
    <row r="29" ht="15.75" customHeight="1">
      <c r="A29" s="42"/>
      <c r="B29" s="43" t="s">
        <v>112</v>
      </c>
      <c r="C29" s="44" t="s">
        <v>103</v>
      </c>
      <c r="D29" s="45">
        <v>24960.0</v>
      </c>
      <c r="E29" s="46">
        <v>50.0</v>
      </c>
      <c r="F29" s="47">
        <v>43862.0</v>
      </c>
      <c r="G29" s="48">
        <v>44440.0</v>
      </c>
      <c r="H29" s="49" t="s">
        <v>113</v>
      </c>
      <c r="I29" s="50" t="str">
        <f>IF(Project!$G29="","",IF(TODAY()-Project!$G$2:$G$29&gt;365, "ON", "OFF"))</f>
        <v>OFF</v>
      </c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</row>
    <row r="30" ht="15.75" customHeight="1">
      <c r="A30" s="42"/>
      <c r="B30" s="35"/>
      <c r="C30" s="35"/>
      <c r="D30" s="35"/>
      <c r="E30" s="35"/>
      <c r="F30" s="35"/>
      <c r="G30" s="35"/>
      <c r="H30" s="36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</row>
    <row r="31" ht="15.75" customHeight="1">
      <c r="A31" s="42"/>
      <c r="B31" s="35"/>
      <c r="C31" s="35"/>
      <c r="D31" s="35"/>
      <c r="E31" s="35"/>
      <c r="F31" s="35"/>
      <c r="G31" s="35"/>
      <c r="H31" s="36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</row>
    <row r="32" ht="15.75" customHeight="1">
      <c r="A32" s="42"/>
      <c r="B32" s="35"/>
      <c r="C32" s="35"/>
      <c r="D32" s="35"/>
      <c r="E32" s="35"/>
      <c r="F32" s="35"/>
      <c r="G32" s="35"/>
      <c r="H32" s="36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</row>
    <row r="33" ht="15.75" customHeight="1">
      <c r="A33" s="42"/>
      <c r="B33" s="35"/>
      <c r="C33" s="35"/>
      <c r="D33" s="35"/>
      <c r="E33" s="35"/>
      <c r="F33" s="35"/>
      <c r="G33" s="35"/>
      <c r="H33" s="36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</row>
    <row r="34" ht="15.75" customHeight="1">
      <c r="A34" s="42"/>
      <c r="B34" s="35"/>
      <c r="C34" s="35"/>
      <c r="D34" s="35"/>
      <c r="E34" s="35"/>
      <c r="F34" s="35"/>
      <c r="G34" s="35"/>
      <c r="H34" s="36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</row>
    <row r="35" ht="15.75" customHeight="1">
      <c r="A35" s="42"/>
      <c r="B35" s="35"/>
      <c r="C35" s="35"/>
      <c r="D35" s="35"/>
      <c r="E35" s="35"/>
      <c r="F35" s="35"/>
      <c r="G35" s="35"/>
      <c r="H35" s="36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</row>
    <row r="36" ht="15.75" customHeight="1">
      <c r="A36" s="42"/>
      <c r="B36" s="35"/>
      <c r="C36" s="35"/>
      <c r="D36" s="35"/>
      <c r="E36" s="35"/>
      <c r="F36" s="35"/>
      <c r="G36" s="35"/>
      <c r="H36" s="36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</row>
    <row r="37" ht="15.75" customHeight="1">
      <c r="A37" s="42"/>
      <c r="B37" s="35"/>
      <c r="C37" s="35"/>
      <c r="D37" s="35"/>
      <c r="E37" s="35"/>
      <c r="F37" s="35"/>
      <c r="G37" s="35"/>
      <c r="H37" s="36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</row>
    <row r="38" ht="15.75" customHeight="1">
      <c r="A38" s="42"/>
      <c r="B38" s="35"/>
      <c r="C38" s="35"/>
      <c r="D38" s="35"/>
      <c r="E38" s="35"/>
      <c r="F38" s="35"/>
      <c r="G38" s="35"/>
      <c r="H38" s="36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</row>
    <row r="39" ht="15.75" customHeight="1">
      <c r="A39" s="42"/>
      <c r="B39" s="35"/>
      <c r="C39" s="35"/>
      <c r="D39" s="35"/>
      <c r="E39" s="35"/>
      <c r="F39" s="35"/>
      <c r="G39" s="35"/>
      <c r="H39" s="36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</row>
    <row r="40" ht="15.75" customHeight="1">
      <c r="A40" s="42"/>
      <c r="B40" s="35"/>
      <c r="C40" s="35"/>
      <c r="D40" s="35"/>
      <c r="E40" s="35"/>
      <c r="F40" s="35"/>
      <c r="G40" s="35"/>
      <c r="H40" s="36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</row>
    <row r="41" ht="15.75" customHeight="1">
      <c r="A41" s="42"/>
      <c r="B41" s="35"/>
      <c r="C41" s="35"/>
      <c r="D41" s="35"/>
      <c r="E41" s="35"/>
      <c r="F41" s="35"/>
      <c r="G41" s="35"/>
      <c r="H41" s="36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</row>
    <row r="42" ht="15.75" customHeight="1">
      <c r="A42" s="42"/>
      <c r="B42" s="35"/>
      <c r="C42" s="35"/>
      <c r="D42" s="35"/>
      <c r="E42" s="35"/>
      <c r="F42" s="35"/>
      <c r="G42" s="35"/>
      <c r="H42" s="36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</row>
    <row r="43" ht="15.75" customHeight="1">
      <c r="A43" s="42"/>
      <c r="B43" s="35"/>
      <c r="C43" s="35"/>
      <c r="D43" s="35"/>
      <c r="E43" s="35"/>
      <c r="F43" s="35"/>
      <c r="G43" s="35"/>
      <c r="H43" s="36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</row>
    <row r="44" ht="15.75" customHeight="1">
      <c r="A44" s="42"/>
      <c r="B44" s="35"/>
      <c r="C44" s="35"/>
      <c r="D44" s="35"/>
      <c r="E44" s="35"/>
      <c r="F44" s="35"/>
      <c r="G44" s="35"/>
      <c r="H44" s="36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</row>
    <row r="45" ht="15.75" customHeight="1">
      <c r="A45" s="42"/>
      <c r="B45" s="35"/>
      <c r="C45" s="35"/>
      <c r="D45" s="35"/>
      <c r="E45" s="35"/>
      <c r="F45" s="35"/>
      <c r="G45" s="35"/>
      <c r="H45" s="36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</row>
    <row r="46" ht="15.75" customHeight="1">
      <c r="A46" s="42"/>
      <c r="B46" s="35"/>
      <c r="C46" s="35"/>
      <c r="D46" s="35"/>
      <c r="E46" s="35"/>
      <c r="F46" s="35"/>
      <c r="G46" s="35"/>
      <c r="H46" s="36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</row>
    <row r="47" ht="15.75" customHeight="1">
      <c r="A47" s="42"/>
      <c r="B47" s="35"/>
      <c r="C47" s="35"/>
      <c r="D47" s="35"/>
      <c r="E47" s="35"/>
      <c r="F47" s="35"/>
      <c r="G47" s="35"/>
      <c r="H47" s="36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</row>
    <row r="48" ht="15.75" customHeight="1">
      <c r="A48" s="42"/>
      <c r="B48" s="35"/>
      <c r="C48" s="35"/>
      <c r="D48" s="35"/>
      <c r="E48" s="35"/>
      <c r="F48" s="35"/>
      <c r="G48" s="35"/>
      <c r="H48" s="36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</row>
    <row r="49" ht="15.75" customHeight="1">
      <c r="A49" s="42"/>
      <c r="B49" s="35"/>
      <c r="C49" s="35"/>
      <c r="D49" s="35"/>
      <c r="E49" s="35"/>
      <c r="F49" s="35"/>
      <c r="G49" s="35"/>
      <c r="H49" s="36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</row>
    <row r="50" ht="15.75" customHeight="1">
      <c r="A50" s="42"/>
      <c r="B50" s="35"/>
      <c r="C50" s="35"/>
      <c r="D50" s="35"/>
      <c r="E50" s="35"/>
      <c r="F50" s="35"/>
      <c r="G50" s="35"/>
      <c r="H50" s="36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</row>
    <row r="51" ht="15.75" customHeight="1">
      <c r="A51" s="42"/>
      <c r="B51" s="35"/>
      <c r="C51" s="35"/>
      <c r="D51" s="35"/>
      <c r="E51" s="35"/>
      <c r="F51" s="35"/>
      <c r="G51" s="35"/>
      <c r="H51" s="36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</row>
    <row r="52" ht="15.75" customHeight="1">
      <c r="A52" s="42"/>
      <c r="B52" s="35"/>
      <c r="C52" s="35"/>
      <c r="D52" s="35"/>
      <c r="E52" s="35"/>
      <c r="F52" s="35"/>
      <c r="G52" s="35"/>
      <c r="H52" s="36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</row>
    <row r="53" ht="15.75" customHeight="1">
      <c r="A53" s="42"/>
      <c r="B53" s="35"/>
      <c r="C53" s="35"/>
      <c r="D53" s="35"/>
      <c r="E53" s="35"/>
      <c r="F53" s="35"/>
      <c r="G53" s="35"/>
      <c r="H53" s="36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</row>
    <row r="54" ht="15.75" customHeight="1">
      <c r="A54" s="42"/>
      <c r="B54" s="35"/>
      <c r="C54" s="35"/>
      <c r="D54" s="35"/>
      <c r="E54" s="35"/>
      <c r="F54" s="35"/>
      <c r="G54" s="35"/>
      <c r="H54" s="36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</row>
    <row r="55" ht="15.75" customHeight="1">
      <c r="A55" s="42"/>
      <c r="B55" s="35"/>
      <c r="C55" s="35"/>
      <c r="D55" s="35"/>
      <c r="E55" s="35"/>
      <c r="F55" s="35"/>
      <c r="G55" s="35"/>
      <c r="H55" s="36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</row>
    <row r="56" ht="15.75" customHeight="1">
      <c r="A56" s="42"/>
      <c r="B56" s="35"/>
      <c r="C56" s="35"/>
      <c r="D56" s="35"/>
      <c r="E56" s="35"/>
      <c r="F56" s="35"/>
      <c r="G56" s="35"/>
      <c r="H56" s="36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</row>
    <row r="57" ht="15.75" customHeight="1">
      <c r="A57" s="42"/>
      <c r="B57" s="35"/>
      <c r="C57" s="35"/>
      <c r="D57" s="35"/>
      <c r="E57" s="35"/>
      <c r="F57" s="35"/>
      <c r="G57" s="35"/>
      <c r="H57" s="36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</row>
    <row r="58" ht="15.75" customHeight="1">
      <c r="A58" s="42"/>
      <c r="B58" s="35"/>
      <c r="C58" s="35"/>
      <c r="D58" s="35"/>
      <c r="E58" s="35"/>
      <c r="F58" s="35"/>
      <c r="G58" s="35"/>
      <c r="H58" s="36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</row>
    <row r="59" ht="15.75" customHeight="1">
      <c r="A59" s="42"/>
      <c r="B59" s="35"/>
      <c r="C59" s="35"/>
      <c r="D59" s="35"/>
      <c r="E59" s="35"/>
      <c r="F59" s="35"/>
      <c r="G59" s="35"/>
      <c r="H59" s="36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</row>
    <row r="60" ht="15.75" customHeight="1">
      <c r="A60" s="42"/>
      <c r="B60" s="35"/>
      <c r="C60" s="35"/>
      <c r="D60" s="35"/>
      <c r="E60" s="35"/>
      <c r="F60" s="35"/>
      <c r="G60" s="35"/>
      <c r="H60" s="36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</row>
    <row r="61" ht="15.75" customHeight="1">
      <c r="A61" s="42"/>
      <c r="B61" s="35"/>
      <c r="C61" s="35"/>
      <c r="D61" s="35"/>
      <c r="E61" s="35"/>
      <c r="F61" s="35"/>
      <c r="G61" s="35"/>
      <c r="H61" s="36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</row>
    <row r="62" ht="15.75" customHeight="1">
      <c r="A62" s="42"/>
      <c r="B62" s="35"/>
      <c r="C62" s="35"/>
      <c r="D62" s="35"/>
      <c r="E62" s="35"/>
      <c r="F62" s="35"/>
      <c r="G62" s="35"/>
      <c r="H62" s="36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</row>
    <row r="63" ht="15.75" customHeight="1">
      <c r="A63" s="42"/>
      <c r="B63" s="35"/>
      <c r="C63" s="35"/>
      <c r="D63" s="35"/>
      <c r="E63" s="35"/>
      <c r="F63" s="35"/>
      <c r="G63" s="35"/>
      <c r="H63" s="36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</row>
    <row r="64" ht="15.75" customHeight="1">
      <c r="A64" s="42"/>
      <c r="B64" s="35"/>
      <c r="C64" s="35"/>
      <c r="D64" s="35"/>
      <c r="E64" s="35"/>
      <c r="F64" s="35"/>
      <c r="G64" s="35"/>
      <c r="H64" s="36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</row>
    <row r="65" ht="15.75" customHeight="1">
      <c r="A65" s="42"/>
      <c r="B65" s="35"/>
      <c r="C65" s="35"/>
      <c r="D65" s="35"/>
      <c r="E65" s="35"/>
      <c r="F65" s="35"/>
      <c r="G65" s="35"/>
      <c r="H65" s="36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</row>
    <row r="66" ht="15.75" customHeight="1">
      <c r="A66" s="42"/>
      <c r="B66" s="35"/>
      <c r="C66" s="35"/>
      <c r="D66" s="35"/>
      <c r="E66" s="35"/>
      <c r="F66" s="35"/>
      <c r="G66" s="35"/>
      <c r="H66" s="36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</row>
    <row r="67" ht="15.75" customHeight="1">
      <c r="A67" s="42"/>
      <c r="B67" s="35"/>
      <c r="C67" s="35"/>
      <c r="D67" s="35"/>
      <c r="E67" s="35"/>
      <c r="F67" s="35"/>
      <c r="G67" s="35"/>
      <c r="H67" s="36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</row>
    <row r="68" ht="15.75" customHeight="1">
      <c r="A68" s="42"/>
      <c r="B68" s="35"/>
      <c r="C68" s="35"/>
      <c r="D68" s="35"/>
      <c r="E68" s="35"/>
      <c r="F68" s="35"/>
      <c r="G68" s="35"/>
      <c r="H68" s="36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</row>
    <row r="69" ht="15.75" customHeight="1">
      <c r="A69" s="42"/>
      <c r="B69" s="35"/>
      <c r="C69" s="35"/>
      <c r="D69" s="35"/>
      <c r="E69" s="35"/>
      <c r="F69" s="35"/>
      <c r="G69" s="35"/>
      <c r="H69" s="36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</row>
    <row r="70" ht="15.75" customHeight="1">
      <c r="A70" s="42"/>
      <c r="B70" s="35"/>
      <c r="C70" s="35"/>
      <c r="D70" s="35"/>
      <c r="E70" s="35"/>
      <c r="F70" s="35"/>
      <c r="G70" s="35"/>
      <c r="H70" s="36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</row>
    <row r="71" ht="15.75" customHeight="1">
      <c r="A71" s="42"/>
      <c r="B71" s="35"/>
      <c r="C71" s="35"/>
      <c r="D71" s="35"/>
      <c r="E71" s="35"/>
      <c r="F71" s="35"/>
      <c r="G71" s="35"/>
      <c r="H71" s="36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</row>
    <row r="72" ht="15.75" customHeight="1">
      <c r="A72" s="42"/>
      <c r="B72" s="35"/>
      <c r="C72" s="35"/>
      <c r="D72" s="35"/>
      <c r="E72" s="35"/>
      <c r="F72" s="35"/>
      <c r="G72" s="35"/>
      <c r="H72" s="36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</row>
    <row r="73" ht="15.75" customHeight="1">
      <c r="A73" s="42"/>
      <c r="B73" s="35"/>
      <c r="C73" s="35"/>
      <c r="D73" s="35"/>
      <c r="E73" s="35"/>
      <c r="F73" s="35"/>
      <c r="G73" s="35"/>
      <c r="H73" s="36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</row>
    <row r="74" ht="15.75" customHeight="1">
      <c r="A74" s="42"/>
      <c r="B74" s="35"/>
      <c r="C74" s="35"/>
      <c r="D74" s="35"/>
      <c r="E74" s="35"/>
      <c r="F74" s="35"/>
      <c r="G74" s="35"/>
      <c r="H74" s="36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</row>
    <row r="75" ht="15.75" customHeight="1">
      <c r="A75" s="42"/>
      <c r="B75" s="35"/>
      <c r="C75" s="35"/>
      <c r="D75" s="35"/>
      <c r="E75" s="35"/>
      <c r="F75" s="35"/>
      <c r="G75" s="35"/>
      <c r="H75" s="36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</row>
    <row r="76" ht="15.75" customHeight="1">
      <c r="A76" s="42"/>
      <c r="B76" s="35"/>
      <c r="C76" s="35"/>
      <c r="D76" s="35"/>
      <c r="E76" s="35"/>
      <c r="F76" s="35"/>
      <c r="G76" s="35"/>
      <c r="H76" s="36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</row>
    <row r="77" ht="15.75" customHeight="1">
      <c r="A77" s="42"/>
      <c r="B77" s="35"/>
      <c r="C77" s="35"/>
      <c r="D77" s="35"/>
      <c r="E77" s="35"/>
      <c r="F77" s="35"/>
      <c r="G77" s="35"/>
      <c r="H77" s="36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</row>
    <row r="78" ht="15.75" customHeight="1">
      <c r="A78" s="42"/>
      <c r="B78" s="35"/>
      <c r="C78" s="35"/>
      <c r="D78" s="35"/>
      <c r="E78" s="35"/>
      <c r="F78" s="35"/>
      <c r="G78" s="35"/>
      <c r="H78" s="36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</row>
    <row r="79" ht="15.75" customHeight="1">
      <c r="A79" s="42"/>
      <c r="B79" s="35"/>
      <c r="C79" s="35"/>
      <c r="D79" s="35"/>
      <c r="E79" s="35"/>
      <c r="F79" s="35"/>
      <c r="G79" s="35"/>
      <c r="H79" s="36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</row>
    <row r="80" ht="15.75" customHeight="1">
      <c r="A80" s="42"/>
      <c r="B80" s="35"/>
      <c r="C80" s="35"/>
      <c r="D80" s="35"/>
      <c r="E80" s="35"/>
      <c r="F80" s="35"/>
      <c r="G80" s="35"/>
      <c r="H80" s="36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</row>
    <row r="81" ht="15.75" customHeight="1">
      <c r="A81" s="42"/>
      <c r="B81" s="35"/>
      <c r="C81" s="35"/>
      <c r="D81" s="35"/>
      <c r="E81" s="35"/>
      <c r="F81" s="35"/>
      <c r="G81" s="35"/>
      <c r="H81" s="36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</row>
    <row r="82" ht="15.75" customHeight="1">
      <c r="A82" s="42"/>
      <c r="B82" s="35"/>
      <c r="C82" s="35"/>
      <c r="D82" s="35"/>
      <c r="E82" s="35"/>
      <c r="F82" s="35"/>
      <c r="G82" s="35"/>
      <c r="H82" s="36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</row>
    <row r="83" ht="15.75" customHeight="1">
      <c r="A83" s="42"/>
      <c r="B83" s="35"/>
      <c r="C83" s="35"/>
      <c r="D83" s="35"/>
      <c r="E83" s="35"/>
      <c r="F83" s="35"/>
      <c r="G83" s="35"/>
      <c r="H83" s="36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</row>
    <row r="84" ht="15.75" customHeight="1">
      <c r="A84" s="42"/>
      <c r="B84" s="35"/>
      <c r="C84" s="35"/>
      <c r="D84" s="35"/>
      <c r="E84" s="35"/>
      <c r="F84" s="35"/>
      <c r="G84" s="35"/>
      <c r="H84" s="36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</row>
    <row r="85" ht="15.75" customHeight="1">
      <c r="A85" s="42"/>
      <c r="B85" s="35"/>
      <c r="C85" s="35"/>
      <c r="D85" s="35"/>
      <c r="E85" s="35"/>
      <c r="F85" s="35"/>
      <c r="G85" s="35"/>
      <c r="H85" s="36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</row>
    <row r="86" ht="15.75" customHeight="1">
      <c r="A86" s="42"/>
      <c r="B86" s="35"/>
      <c r="C86" s="35"/>
      <c r="D86" s="35"/>
      <c r="E86" s="35"/>
      <c r="F86" s="35"/>
      <c r="G86" s="35"/>
      <c r="H86" s="36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</row>
    <row r="87" ht="15.75" customHeight="1">
      <c r="A87" s="42"/>
      <c r="B87" s="35"/>
      <c r="C87" s="35"/>
      <c r="D87" s="35"/>
      <c r="E87" s="35"/>
      <c r="F87" s="35"/>
      <c r="G87" s="35"/>
      <c r="H87" s="36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</row>
    <row r="88" ht="15.75" customHeight="1">
      <c r="A88" s="42"/>
      <c r="B88" s="35"/>
      <c r="C88" s="35"/>
      <c r="D88" s="35"/>
      <c r="E88" s="35"/>
      <c r="F88" s="35"/>
      <c r="G88" s="35"/>
      <c r="H88" s="36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</row>
    <row r="89" ht="15.75" customHeight="1">
      <c r="A89" s="42"/>
      <c r="B89" s="35"/>
      <c r="C89" s="35"/>
      <c r="D89" s="35"/>
      <c r="E89" s="35"/>
      <c r="F89" s="35"/>
      <c r="G89" s="35"/>
      <c r="H89" s="36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</row>
    <row r="90" ht="15.75" customHeight="1">
      <c r="A90" s="42"/>
      <c r="B90" s="35"/>
      <c r="C90" s="35"/>
      <c r="D90" s="35"/>
      <c r="E90" s="35"/>
      <c r="F90" s="35"/>
      <c r="G90" s="35"/>
      <c r="H90" s="36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</row>
    <row r="91" ht="15.75" customHeight="1">
      <c r="A91" s="42"/>
      <c r="B91" s="35"/>
      <c r="C91" s="35"/>
      <c r="D91" s="35"/>
      <c r="E91" s="35"/>
      <c r="F91" s="35"/>
      <c r="G91" s="35"/>
      <c r="H91" s="36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</row>
    <row r="92" ht="15.75" customHeight="1">
      <c r="A92" s="42"/>
      <c r="B92" s="35"/>
      <c r="C92" s="35"/>
      <c r="D92" s="35"/>
      <c r="E92" s="35"/>
      <c r="F92" s="35"/>
      <c r="G92" s="35"/>
      <c r="H92" s="36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</row>
    <row r="93" ht="15.75" customHeight="1">
      <c r="A93" s="42"/>
      <c r="B93" s="35"/>
      <c r="C93" s="35"/>
      <c r="D93" s="35"/>
      <c r="E93" s="35"/>
      <c r="F93" s="35"/>
      <c r="G93" s="35"/>
      <c r="H93" s="36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</row>
    <row r="94" ht="15.75" customHeight="1">
      <c r="A94" s="42"/>
      <c r="B94" s="35"/>
      <c r="C94" s="35"/>
      <c r="D94" s="35"/>
      <c r="E94" s="35"/>
      <c r="F94" s="35"/>
      <c r="G94" s="35"/>
      <c r="H94" s="36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</row>
    <row r="95" ht="15.75" customHeight="1">
      <c r="A95" s="42"/>
      <c r="B95" s="35"/>
      <c r="C95" s="35"/>
      <c r="D95" s="35"/>
      <c r="E95" s="35"/>
      <c r="F95" s="35"/>
      <c r="G95" s="35"/>
      <c r="H95" s="36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</row>
    <row r="96" ht="15.75" customHeight="1">
      <c r="A96" s="42"/>
      <c r="B96" s="35"/>
      <c r="C96" s="35"/>
      <c r="D96" s="35"/>
      <c r="E96" s="35"/>
      <c r="F96" s="35"/>
      <c r="G96" s="35"/>
      <c r="H96" s="36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</row>
    <row r="97" ht="15.75" customHeight="1">
      <c r="A97" s="42"/>
      <c r="B97" s="35"/>
      <c r="C97" s="35"/>
      <c r="D97" s="35"/>
      <c r="E97" s="35"/>
      <c r="F97" s="35"/>
      <c r="G97" s="35"/>
      <c r="H97" s="36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</row>
    <row r="98" ht="15.75" customHeight="1">
      <c r="A98" s="42"/>
      <c r="B98" s="35"/>
      <c r="C98" s="35"/>
      <c r="D98" s="35"/>
      <c r="E98" s="35"/>
      <c r="F98" s="35"/>
      <c r="G98" s="35"/>
      <c r="H98" s="36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</row>
    <row r="99" ht="15.75" customHeight="1">
      <c r="A99" s="42"/>
      <c r="B99" s="35"/>
      <c r="C99" s="35"/>
      <c r="D99" s="35"/>
      <c r="E99" s="35"/>
      <c r="F99" s="35"/>
      <c r="G99" s="35"/>
      <c r="H99" s="36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</row>
    <row r="100" ht="15.75" customHeight="1">
      <c r="A100" s="42"/>
      <c r="B100" s="35"/>
      <c r="C100" s="35"/>
      <c r="D100" s="35"/>
      <c r="E100" s="35"/>
      <c r="F100" s="35"/>
      <c r="G100" s="35"/>
      <c r="H100" s="36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</row>
    <row r="101" ht="15.75" customHeight="1">
      <c r="A101" s="42"/>
      <c r="B101" s="35"/>
      <c r="C101" s="35"/>
      <c r="D101" s="35"/>
      <c r="E101" s="35"/>
      <c r="F101" s="35"/>
      <c r="G101" s="35"/>
      <c r="H101" s="36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</row>
    <row r="102" ht="15.75" customHeight="1">
      <c r="A102" s="42"/>
      <c r="B102" s="35"/>
      <c r="C102" s="35"/>
      <c r="D102" s="35"/>
      <c r="E102" s="35"/>
      <c r="F102" s="35"/>
      <c r="G102" s="35"/>
      <c r="H102" s="36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</row>
    <row r="103" ht="15.75" customHeight="1">
      <c r="A103" s="42"/>
      <c r="B103" s="35"/>
      <c r="C103" s="35"/>
      <c r="D103" s="35"/>
      <c r="E103" s="35"/>
      <c r="F103" s="35"/>
      <c r="G103" s="35"/>
      <c r="H103" s="36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</row>
    <row r="104" ht="15.75" customHeight="1">
      <c r="A104" s="42"/>
      <c r="B104" s="35"/>
      <c r="C104" s="35"/>
      <c r="D104" s="35"/>
      <c r="E104" s="35"/>
      <c r="F104" s="35"/>
      <c r="G104" s="35"/>
      <c r="H104" s="36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</row>
    <row r="105" ht="15.75" customHeight="1">
      <c r="A105" s="42"/>
      <c r="B105" s="35"/>
      <c r="C105" s="35"/>
      <c r="D105" s="35"/>
      <c r="E105" s="35"/>
      <c r="F105" s="35"/>
      <c r="G105" s="35"/>
      <c r="H105" s="36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</row>
    <row r="106" ht="15.75" customHeight="1">
      <c r="A106" s="42"/>
      <c r="B106" s="35"/>
      <c r="C106" s="35"/>
      <c r="D106" s="35"/>
      <c r="E106" s="35"/>
      <c r="F106" s="35"/>
      <c r="G106" s="35"/>
      <c r="H106" s="36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</row>
    <row r="107" ht="15.75" customHeight="1">
      <c r="A107" s="42"/>
      <c r="B107" s="35"/>
      <c r="C107" s="35"/>
      <c r="D107" s="35"/>
      <c r="E107" s="35"/>
      <c r="F107" s="35"/>
      <c r="G107" s="35"/>
      <c r="H107" s="36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</row>
    <row r="108" ht="15.75" customHeight="1">
      <c r="A108" s="42"/>
      <c r="B108" s="35"/>
      <c r="C108" s="35"/>
      <c r="D108" s="35"/>
      <c r="E108" s="35"/>
      <c r="F108" s="35"/>
      <c r="G108" s="35"/>
      <c r="H108" s="36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</row>
    <row r="109" ht="15.75" customHeight="1">
      <c r="A109" s="42"/>
      <c r="B109" s="35"/>
      <c r="C109" s="35"/>
      <c r="D109" s="35"/>
      <c r="E109" s="35"/>
      <c r="F109" s="35"/>
      <c r="G109" s="35"/>
      <c r="H109" s="36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</row>
    <row r="110" ht="15.75" customHeight="1">
      <c r="A110" s="42"/>
      <c r="B110" s="35"/>
      <c r="C110" s="35"/>
      <c r="D110" s="35"/>
      <c r="E110" s="35"/>
      <c r="F110" s="35"/>
      <c r="G110" s="35"/>
      <c r="H110" s="36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</row>
    <row r="111" ht="15.75" customHeight="1">
      <c r="A111" s="42"/>
      <c r="B111" s="35"/>
      <c r="C111" s="35"/>
      <c r="D111" s="35"/>
      <c r="E111" s="35"/>
      <c r="F111" s="35"/>
      <c r="G111" s="35"/>
      <c r="H111" s="36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</row>
    <row r="112" ht="15.75" customHeight="1">
      <c r="A112" s="42"/>
      <c r="B112" s="35"/>
      <c r="C112" s="35"/>
      <c r="D112" s="35"/>
      <c r="E112" s="35"/>
      <c r="F112" s="35"/>
      <c r="G112" s="35"/>
      <c r="H112" s="36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</row>
    <row r="113" ht="15.75" customHeight="1">
      <c r="A113" s="42"/>
      <c r="B113" s="35"/>
      <c r="C113" s="35"/>
      <c r="D113" s="35"/>
      <c r="E113" s="35"/>
      <c r="F113" s="35"/>
      <c r="G113" s="35"/>
      <c r="H113" s="36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</row>
    <row r="114" ht="15.75" customHeight="1">
      <c r="A114" s="42"/>
      <c r="B114" s="35"/>
      <c r="C114" s="35"/>
      <c r="D114" s="35"/>
      <c r="E114" s="35"/>
      <c r="F114" s="35"/>
      <c r="G114" s="35"/>
      <c r="H114" s="36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</row>
    <row r="115" ht="15.75" customHeight="1">
      <c r="A115" s="42"/>
      <c r="B115" s="35"/>
      <c r="C115" s="35"/>
      <c r="D115" s="35"/>
      <c r="E115" s="35"/>
      <c r="F115" s="35"/>
      <c r="G115" s="35"/>
      <c r="H115" s="36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</row>
    <row r="116" ht="15.75" customHeight="1">
      <c r="A116" s="42"/>
      <c r="B116" s="35"/>
      <c r="C116" s="35"/>
      <c r="D116" s="35"/>
      <c r="E116" s="35"/>
      <c r="F116" s="35"/>
      <c r="G116" s="35"/>
      <c r="H116" s="36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</row>
    <row r="117" ht="15.75" customHeight="1">
      <c r="A117" s="42"/>
      <c r="B117" s="35"/>
      <c r="C117" s="35"/>
      <c r="D117" s="35"/>
      <c r="E117" s="35"/>
      <c r="F117" s="35"/>
      <c r="G117" s="35"/>
      <c r="H117" s="36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</row>
    <row r="118" ht="15.75" customHeight="1">
      <c r="A118" s="42"/>
      <c r="B118" s="35"/>
      <c r="C118" s="35"/>
      <c r="D118" s="35"/>
      <c r="E118" s="35"/>
      <c r="F118" s="35"/>
      <c r="G118" s="35"/>
      <c r="H118" s="36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</row>
    <row r="119" ht="15.75" customHeight="1">
      <c r="A119" s="42"/>
      <c r="B119" s="35"/>
      <c r="C119" s="35"/>
      <c r="D119" s="35"/>
      <c r="E119" s="35"/>
      <c r="F119" s="35"/>
      <c r="G119" s="35"/>
      <c r="H119" s="36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</row>
    <row r="120" ht="15.75" customHeight="1">
      <c r="A120" s="42"/>
      <c r="B120" s="35"/>
      <c r="C120" s="35"/>
      <c r="D120" s="35"/>
      <c r="E120" s="35"/>
      <c r="F120" s="35"/>
      <c r="G120" s="35"/>
      <c r="H120" s="36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</row>
    <row r="121" ht="15.75" customHeight="1">
      <c r="A121" s="42"/>
      <c r="B121" s="35"/>
      <c r="C121" s="35"/>
      <c r="D121" s="35"/>
      <c r="E121" s="35"/>
      <c r="F121" s="35"/>
      <c r="G121" s="35"/>
      <c r="H121" s="36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</row>
    <row r="122" ht="15.75" customHeight="1">
      <c r="A122" s="42"/>
      <c r="B122" s="35"/>
      <c r="C122" s="35"/>
      <c r="D122" s="35"/>
      <c r="E122" s="35"/>
      <c r="F122" s="35"/>
      <c r="G122" s="35"/>
      <c r="H122" s="36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</row>
    <row r="123" ht="15.75" customHeight="1">
      <c r="A123" s="42"/>
      <c r="B123" s="35"/>
      <c r="C123" s="35"/>
      <c r="D123" s="35"/>
      <c r="E123" s="35"/>
      <c r="F123" s="35"/>
      <c r="G123" s="35"/>
      <c r="H123" s="36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</row>
    <row r="124" ht="15.75" customHeight="1">
      <c r="A124" s="42"/>
      <c r="B124" s="35"/>
      <c r="C124" s="35"/>
      <c r="D124" s="35"/>
      <c r="E124" s="35"/>
      <c r="F124" s="35"/>
      <c r="G124" s="35"/>
      <c r="H124" s="36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</row>
    <row r="125" ht="15.75" customHeight="1">
      <c r="A125" s="42"/>
      <c r="B125" s="35"/>
      <c r="C125" s="35"/>
      <c r="D125" s="35"/>
      <c r="E125" s="35"/>
      <c r="F125" s="35"/>
      <c r="G125" s="35"/>
      <c r="H125" s="36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</row>
    <row r="126" ht="15.75" customHeight="1">
      <c r="A126" s="42"/>
      <c r="B126" s="35"/>
      <c r="C126" s="35"/>
      <c r="D126" s="35"/>
      <c r="E126" s="35"/>
      <c r="F126" s="35"/>
      <c r="G126" s="35"/>
      <c r="H126" s="36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</row>
    <row r="127" ht="15.75" customHeight="1">
      <c r="A127" s="42"/>
      <c r="B127" s="35"/>
      <c r="C127" s="35"/>
      <c r="D127" s="35"/>
      <c r="E127" s="35"/>
      <c r="F127" s="35"/>
      <c r="G127" s="35"/>
      <c r="H127" s="36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</row>
    <row r="128" ht="15.75" customHeight="1">
      <c r="A128" s="42"/>
      <c r="B128" s="35"/>
      <c r="C128" s="35"/>
      <c r="D128" s="35"/>
      <c r="E128" s="35"/>
      <c r="F128" s="35"/>
      <c r="G128" s="35"/>
      <c r="H128" s="36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</row>
    <row r="129" ht="15.75" customHeight="1">
      <c r="A129" s="42"/>
      <c r="B129" s="35"/>
      <c r="C129" s="35"/>
      <c r="D129" s="35"/>
      <c r="E129" s="35"/>
      <c r="F129" s="35"/>
      <c r="G129" s="35"/>
      <c r="H129" s="36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</row>
    <row r="130" ht="15.75" customHeight="1">
      <c r="A130" s="42"/>
      <c r="B130" s="35"/>
      <c r="C130" s="35"/>
      <c r="D130" s="35"/>
      <c r="E130" s="35"/>
      <c r="F130" s="35"/>
      <c r="G130" s="35"/>
      <c r="H130" s="36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</row>
    <row r="131" ht="15.75" customHeight="1">
      <c r="A131" s="42"/>
      <c r="B131" s="35"/>
      <c r="C131" s="35"/>
      <c r="D131" s="35"/>
      <c r="E131" s="35"/>
      <c r="F131" s="35"/>
      <c r="G131" s="35"/>
      <c r="H131" s="36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</row>
    <row r="132" ht="15.75" customHeight="1">
      <c r="A132" s="42"/>
      <c r="B132" s="35"/>
      <c r="C132" s="35"/>
      <c r="D132" s="35"/>
      <c r="E132" s="35"/>
      <c r="F132" s="35"/>
      <c r="G132" s="35"/>
      <c r="H132" s="36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</row>
    <row r="133" ht="15.75" customHeight="1">
      <c r="A133" s="42"/>
      <c r="B133" s="35"/>
      <c r="C133" s="35"/>
      <c r="D133" s="35"/>
      <c r="E133" s="35"/>
      <c r="F133" s="35"/>
      <c r="G133" s="35"/>
      <c r="H133" s="36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</row>
    <row r="134" ht="15.75" customHeight="1">
      <c r="A134" s="42"/>
      <c r="B134" s="35"/>
      <c r="C134" s="35"/>
      <c r="D134" s="35"/>
      <c r="E134" s="35"/>
      <c r="F134" s="35"/>
      <c r="G134" s="35"/>
      <c r="H134" s="36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</row>
    <row r="135" ht="15.75" customHeight="1">
      <c r="A135" s="42"/>
      <c r="B135" s="35"/>
      <c r="C135" s="35"/>
      <c r="D135" s="35"/>
      <c r="E135" s="35"/>
      <c r="F135" s="35"/>
      <c r="G135" s="35"/>
      <c r="H135" s="36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</row>
    <row r="136" ht="15.75" customHeight="1">
      <c r="A136" s="42"/>
      <c r="B136" s="35"/>
      <c r="C136" s="35"/>
      <c r="D136" s="35"/>
      <c r="E136" s="35"/>
      <c r="F136" s="35"/>
      <c r="G136" s="35"/>
      <c r="H136" s="36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</row>
    <row r="137" ht="15.75" customHeight="1">
      <c r="A137" s="42"/>
      <c r="B137" s="35"/>
      <c r="C137" s="35"/>
      <c r="D137" s="35"/>
      <c r="E137" s="35"/>
      <c r="F137" s="35"/>
      <c r="G137" s="35"/>
      <c r="H137" s="36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</row>
    <row r="138" ht="15.75" customHeight="1">
      <c r="A138" s="42"/>
      <c r="B138" s="35"/>
      <c r="C138" s="35"/>
      <c r="D138" s="35"/>
      <c r="E138" s="35"/>
      <c r="F138" s="35"/>
      <c r="G138" s="35"/>
      <c r="H138" s="36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</row>
    <row r="139" ht="15.75" customHeight="1">
      <c r="A139" s="42"/>
      <c r="B139" s="35"/>
      <c r="C139" s="35"/>
      <c r="D139" s="35"/>
      <c r="E139" s="35"/>
      <c r="F139" s="35"/>
      <c r="G139" s="35"/>
      <c r="H139" s="36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</row>
    <row r="140" ht="15.75" customHeight="1">
      <c r="A140" s="42"/>
      <c r="B140" s="35"/>
      <c r="C140" s="35"/>
      <c r="D140" s="35"/>
      <c r="E140" s="35"/>
      <c r="F140" s="35"/>
      <c r="G140" s="35"/>
      <c r="H140" s="36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</row>
    <row r="141" ht="15.75" customHeight="1">
      <c r="A141" s="42"/>
      <c r="B141" s="35"/>
      <c r="C141" s="35"/>
      <c r="D141" s="35"/>
      <c r="E141" s="35"/>
      <c r="F141" s="35"/>
      <c r="G141" s="35"/>
      <c r="H141" s="36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</row>
    <row r="142" ht="15.75" customHeight="1">
      <c r="A142" s="42"/>
      <c r="B142" s="35"/>
      <c r="C142" s="35"/>
      <c r="D142" s="35"/>
      <c r="E142" s="35"/>
      <c r="F142" s="35"/>
      <c r="G142" s="35"/>
      <c r="H142" s="36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</row>
    <row r="143" ht="15.75" customHeight="1">
      <c r="A143" s="42"/>
      <c r="B143" s="35"/>
      <c r="C143" s="35"/>
      <c r="D143" s="35"/>
      <c r="E143" s="35"/>
      <c r="F143" s="35"/>
      <c r="G143" s="35"/>
      <c r="H143" s="36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</row>
    <row r="144" ht="15.75" customHeight="1">
      <c r="A144" s="42"/>
      <c r="B144" s="35"/>
      <c r="C144" s="35"/>
      <c r="D144" s="35"/>
      <c r="E144" s="35"/>
      <c r="F144" s="35"/>
      <c r="G144" s="35"/>
      <c r="H144" s="36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</row>
    <row r="145" ht="15.75" customHeight="1">
      <c r="A145" s="42"/>
      <c r="B145" s="35"/>
      <c r="C145" s="35"/>
      <c r="D145" s="35"/>
      <c r="E145" s="35"/>
      <c r="F145" s="35"/>
      <c r="G145" s="35"/>
      <c r="H145" s="36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</row>
    <row r="146" ht="15.75" customHeight="1">
      <c r="A146" s="42"/>
      <c r="B146" s="35"/>
      <c r="C146" s="35"/>
      <c r="D146" s="35"/>
      <c r="E146" s="35"/>
      <c r="F146" s="35"/>
      <c r="G146" s="35"/>
      <c r="H146" s="36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</row>
    <row r="147" ht="15.75" customHeight="1">
      <c r="A147" s="42"/>
      <c r="B147" s="35"/>
      <c r="C147" s="35"/>
      <c r="D147" s="35"/>
      <c r="E147" s="35"/>
      <c r="F147" s="35"/>
      <c r="G147" s="35"/>
      <c r="H147" s="36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</row>
    <row r="148" ht="15.75" customHeight="1">
      <c r="A148" s="42"/>
      <c r="B148" s="35"/>
      <c r="C148" s="35"/>
      <c r="D148" s="35"/>
      <c r="E148" s="35"/>
      <c r="F148" s="35"/>
      <c r="G148" s="35"/>
      <c r="H148" s="36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</row>
    <row r="149" ht="15.75" customHeight="1">
      <c r="A149" s="42"/>
      <c r="B149" s="35"/>
      <c r="C149" s="35"/>
      <c r="D149" s="35"/>
      <c r="E149" s="35"/>
      <c r="F149" s="35"/>
      <c r="G149" s="35"/>
      <c r="H149" s="36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</row>
    <row r="150" ht="15.75" customHeight="1">
      <c r="A150" s="42"/>
      <c r="B150" s="35"/>
      <c r="C150" s="35"/>
      <c r="D150" s="35"/>
      <c r="E150" s="35"/>
      <c r="F150" s="35"/>
      <c r="G150" s="35"/>
      <c r="H150" s="36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</row>
    <row r="151" ht="15.75" customHeight="1">
      <c r="A151" s="42"/>
      <c r="B151" s="35"/>
      <c r="C151" s="35"/>
      <c r="D151" s="35"/>
      <c r="E151" s="35"/>
      <c r="F151" s="35"/>
      <c r="G151" s="35"/>
      <c r="H151" s="36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</row>
    <row r="152" ht="15.75" customHeight="1">
      <c r="A152" s="42"/>
      <c r="B152" s="35"/>
      <c r="C152" s="35"/>
      <c r="D152" s="35"/>
      <c r="E152" s="35"/>
      <c r="F152" s="35"/>
      <c r="G152" s="35"/>
      <c r="H152" s="36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</row>
    <row r="153" ht="15.75" customHeight="1">
      <c r="A153" s="42"/>
      <c r="B153" s="35"/>
      <c r="C153" s="35"/>
      <c r="D153" s="35"/>
      <c r="E153" s="35"/>
      <c r="F153" s="35"/>
      <c r="G153" s="35"/>
      <c r="H153" s="36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</row>
    <row r="154" ht="15.75" customHeight="1">
      <c r="A154" s="42"/>
      <c r="B154" s="35"/>
      <c r="C154" s="35"/>
      <c r="D154" s="35"/>
      <c r="E154" s="35"/>
      <c r="F154" s="35"/>
      <c r="G154" s="35"/>
      <c r="H154" s="36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</row>
    <row r="155" ht="15.75" customHeight="1">
      <c r="A155" s="42"/>
      <c r="B155" s="35"/>
      <c r="C155" s="35"/>
      <c r="D155" s="35"/>
      <c r="E155" s="35"/>
      <c r="F155" s="35"/>
      <c r="G155" s="35"/>
      <c r="H155" s="36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</row>
    <row r="156" ht="15.75" customHeight="1">
      <c r="A156" s="42"/>
      <c r="B156" s="35"/>
      <c r="C156" s="35"/>
      <c r="D156" s="35"/>
      <c r="E156" s="35"/>
      <c r="F156" s="35"/>
      <c r="G156" s="35"/>
      <c r="H156" s="36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</row>
    <row r="157" ht="15.75" customHeight="1">
      <c r="A157" s="42"/>
      <c r="B157" s="35"/>
      <c r="C157" s="35"/>
      <c r="D157" s="35"/>
      <c r="E157" s="35"/>
      <c r="F157" s="35"/>
      <c r="G157" s="35"/>
      <c r="H157" s="36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</row>
    <row r="158" ht="15.75" customHeight="1">
      <c r="A158" s="42"/>
      <c r="B158" s="35"/>
      <c r="C158" s="35"/>
      <c r="D158" s="35"/>
      <c r="E158" s="35"/>
      <c r="F158" s="35"/>
      <c r="G158" s="35"/>
      <c r="H158" s="36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</row>
    <row r="159" ht="15.75" customHeight="1">
      <c r="A159" s="42"/>
      <c r="B159" s="35"/>
      <c r="C159" s="35"/>
      <c r="D159" s="35"/>
      <c r="E159" s="35"/>
      <c r="F159" s="35"/>
      <c r="G159" s="35"/>
      <c r="H159" s="36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</row>
    <row r="160" ht="15.75" customHeight="1">
      <c r="A160" s="42"/>
      <c r="B160" s="35"/>
      <c r="C160" s="35"/>
      <c r="D160" s="35"/>
      <c r="E160" s="35"/>
      <c r="F160" s="35"/>
      <c r="G160" s="35"/>
      <c r="H160" s="36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</row>
    <row r="161" ht="15.75" customHeight="1">
      <c r="A161" s="42"/>
      <c r="B161" s="35"/>
      <c r="C161" s="35"/>
      <c r="D161" s="35"/>
      <c r="E161" s="35"/>
      <c r="F161" s="35"/>
      <c r="G161" s="35"/>
      <c r="H161" s="36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</row>
    <row r="162" ht="15.75" customHeight="1">
      <c r="A162" s="42"/>
      <c r="B162" s="35"/>
      <c r="C162" s="35"/>
      <c r="D162" s="35"/>
      <c r="E162" s="35"/>
      <c r="F162" s="35"/>
      <c r="G162" s="35"/>
      <c r="H162" s="36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</row>
    <row r="163" ht="15.75" customHeight="1">
      <c r="A163" s="42"/>
      <c r="B163" s="35"/>
      <c r="C163" s="35"/>
      <c r="D163" s="35"/>
      <c r="E163" s="35"/>
      <c r="F163" s="35"/>
      <c r="G163" s="35"/>
      <c r="H163" s="36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</row>
    <row r="164" ht="15.75" customHeight="1">
      <c r="A164" s="42"/>
      <c r="B164" s="35"/>
      <c r="C164" s="35"/>
      <c r="D164" s="35"/>
      <c r="E164" s="35"/>
      <c r="F164" s="35"/>
      <c r="G164" s="35"/>
      <c r="H164" s="36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</row>
    <row r="165" ht="15.75" customHeight="1">
      <c r="A165" s="42"/>
      <c r="B165" s="35"/>
      <c r="C165" s="35"/>
      <c r="D165" s="35"/>
      <c r="E165" s="35"/>
      <c r="F165" s="35"/>
      <c r="G165" s="35"/>
      <c r="H165" s="36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</row>
    <row r="166" ht="15.75" customHeight="1">
      <c r="A166" s="42"/>
      <c r="B166" s="35"/>
      <c r="C166" s="35"/>
      <c r="D166" s="35"/>
      <c r="E166" s="35"/>
      <c r="F166" s="35"/>
      <c r="G166" s="35"/>
      <c r="H166" s="36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</row>
    <row r="167" ht="15.75" customHeight="1">
      <c r="A167" s="42"/>
      <c r="B167" s="35"/>
      <c r="C167" s="35"/>
      <c r="D167" s="35"/>
      <c r="E167" s="35"/>
      <c r="F167" s="35"/>
      <c r="G167" s="35"/>
      <c r="H167" s="36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</row>
    <row r="168" ht="15.75" customHeight="1">
      <c r="A168" s="42"/>
      <c r="B168" s="35"/>
      <c r="C168" s="35"/>
      <c r="D168" s="35"/>
      <c r="E168" s="35"/>
      <c r="F168" s="35"/>
      <c r="G168" s="35"/>
      <c r="H168" s="36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</row>
    <row r="169" ht="15.75" customHeight="1">
      <c r="A169" s="42"/>
      <c r="B169" s="35"/>
      <c r="C169" s="35"/>
      <c r="D169" s="35"/>
      <c r="E169" s="35"/>
      <c r="F169" s="35"/>
      <c r="G169" s="35"/>
      <c r="H169" s="36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</row>
    <row r="170" ht="15.75" customHeight="1">
      <c r="A170" s="42"/>
      <c r="B170" s="35"/>
      <c r="C170" s="35"/>
      <c r="D170" s="35"/>
      <c r="E170" s="35"/>
      <c r="F170" s="35"/>
      <c r="G170" s="35"/>
      <c r="H170" s="36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</row>
    <row r="171" ht="15.75" customHeight="1">
      <c r="A171" s="42"/>
      <c r="B171" s="35"/>
      <c r="C171" s="35"/>
      <c r="D171" s="35"/>
      <c r="E171" s="35"/>
      <c r="F171" s="35"/>
      <c r="G171" s="35"/>
      <c r="H171" s="36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</row>
    <row r="172" ht="15.75" customHeight="1">
      <c r="A172" s="42"/>
      <c r="B172" s="35"/>
      <c r="C172" s="35"/>
      <c r="D172" s="35"/>
      <c r="E172" s="35"/>
      <c r="F172" s="35"/>
      <c r="G172" s="35"/>
      <c r="H172" s="36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</row>
    <row r="173" ht="15.75" customHeight="1">
      <c r="A173" s="42"/>
      <c r="B173" s="35"/>
      <c r="C173" s="35"/>
      <c r="D173" s="35"/>
      <c r="E173" s="35"/>
      <c r="F173" s="35"/>
      <c r="G173" s="35"/>
      <c r="H173" s="36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</row>
    <row r="174" ht="15.75" customHeight="1">
      <c r="A174" s="42"/>
      <c r="B174" s="35"/>
      <c r="C174" s="35"/>
      <c r="D174" s="35"/>
      <c r="E174" s="35"/>
      <c r="F174" s="35"/>
      <c r="G174" s="35"/>
      <c r="H174" s="36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</row>
    <row r="175" ht="15.75" customHeight="1">
      <c r="A175" s="42"/>
      <c r="B175" s="35"/>
      <c r="C175" s="35"/>
      <c r="D175" s="35"/>
      <c r="E175" s="35"/>
      <c r="F175" s="35"/>
      <c r="G175" s="35"/>
      <c r="H175" s="36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</row>
    <row r="176" ht="15.75" customHeight="1">
      <c r="A176" s="42"/>
      <c r="B176" s="35"/>
      <c r="C176" s="35"/>
      <c r="D176" s="35"/>
      <c r="E176" s="35"/>
      <c r="F176" s="35"/>
      <c r="G176" s="35"/>
      <c r="H176" s="36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</row>
    <row r="177" ht="15.75" customHeight="1">
      <c r="A177" s="42"/>
      <c r="B177" s="35"/>
      <c r="C177" s="35"/>
      <c r="D177" s="35"/>
      <c r="E177" s="35"/>
      <c r="F177" s="35"/>
      <c r="G177" s="35"/>
      <c r="H177" s="36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</row>
    <row r="178" ht="15.75" customHeight="1">
      <c r="A178" s="42"/>
      <c r="B178" s="35"/>
      <c r="C178" s="35"/>
      <c r="D178" s="35"/>
      <c r="E178" s="35"/>
      <c r="F178" s="35"/>
      <c r="G178" s="35"/>
      <c r="H178" s="36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</row>
    <row r="179" ht="15.75" customHeight="1">
      <c r="A179" s="42"/>
      <c r="B179" s="35"/>
      <c r="C179" s="35"/>
      <c r="D179" s="35"/>
      <c r="E179" s="35"/>
      <c r="F179" s="35"/>
      <c r="G179" s="35"/>
      <c r="H179" s="36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</row>
    <row r="180" ht="15.75" customHeight="1">
      <c r="A180" s="42"/>
      <c r="B180" s="35"/>
      <c r="C180" s="35"/>
      <c r="D180" s="35"/>
      <c r="E180" s="35"/>
      <c r="F180" s="35"/>
      <c r="G180" s="35"/>
      <c r="H180" s="36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</row>
    <row r="181" ht="15.75" customHeight="1">
      <c r="A181" s="42"/>
      <c r="B181" s="35"/>
      <c r="C181" s="35"/>
      <c r="D181" s="35"/>
      <c r="E181" s="35"/>
      <c r="F181" s="35"/>
      <c r="G181" s="35"/>
      <c r="H181" s="36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</row>
    <row r="182" ht="15.75" customHeight="1">
      <c r="A182" s="42"/>
      <c r="B182" s="35"/>
      <c r="C182" s="35"/>
      <c r="D182" s="35"/>
      <c r="E182" s="35"/>
      <c r="F182" s="35"/>
      <c r="G182" s="35"/>
      <c r="H182" s="36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</row>
    <row r="183" ht="15.75" customHeight="1">
      <c r="A183" s="42"/>
      <c r="B183" s="35"/>
      <c r="C183" s="35"/>
      <c r="D183" s="35"/>
      <c r="E183" s="35"/>
      <c r="F183" s="35"/>
      <c r="G183" s="35"/>
      <c r="H183" s="36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</row>
    <row r="184" ht="15.75" customHeight="1">
      <c r="A184" s="42"/>
      <c r="B184" s="35"/>
      <c r="C184" s="35"/>
      <c r="D184" s="35"/>
      <c r="E184" s="35"/>
      <c r="F184" s="35"/>
      <c r="G184" s="35"/>
      <c r="H184" s="36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</row>
    <row r="185" ht="15.75" customHeight="1">
      <c r="A185" s="42"/>
      <c r="B185" s="35"/>
      <c r="C185" s="35"/>
      <c r="D185" s="35"/>
      <c r="E185" s="35"/>
      <c r="F185" s="35"/>
      <c r="G185" s="35"/>
      <c r="H185" s="36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</row>
    <row r="186" ht="15.75" customHeight="1">
      <c r="A186" s="42"/>
      <c r="B186" s="35"/>
      <c r="C186" s="35"/>
      <c r="D186" s="35"/>
      <c r="E186" s="35"/>
      <c r="F186" s="35"/>
      <c r="G186" s="35"/>
      <c r="H186" s="36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</row>
    <row r="187" ht="15.75" customHeight="1">
      <c r="A187" s="42"/>
      <c r="B187" s="35"/>
      <c r="C187" s="35"/>
      <c r="D187" s="35"/>
      <c r="E187" s="35"/>
      <c r="F187" s="35"/>
      <c r="G187" s="35"/>
      <c r="H187" s="36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</row>
    <row r="188" ht="15.75" customHeight="1">
      <c r="A188" s="42"/>
      <c r="B188" s="35"/>
      <c r="C188" s="35"/>
      <c r="D188" s="35"/>
      <c r="E188" s="35"/>
      <c r="F188" s="35"/>
      <c r="G188" s="35"/>
      <c r="H188" s="36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</row>
    <row r="189" ht="15.75" customHeight="1">
      <c r="A189" s="42"/>
      <c r="B189" s="35"/>
      <c r="C189" s="35"/>
      <c r="D189" s="35"/>
      <c r="E189" s="35"/>
      <c r="F189" s="35"/>
      <c r="G189" s="35"/>
      <c r="H189" s="36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</row>
    <row r="190" ht="15.75" customHeight="1">
      <c r="A190" s="42"/>
      <c r="B190" s="35"/>
      <c r="C190" s="35"/>
      <c r="D190" s="35"/>
      <c r="E190" s="35"/>
      <c r="F190" s="35"/>
      <c r="G190" s="35"/>
      <c r="H190" s="36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</row>
    <row r="191" ht="15.75" customHeight="1">
      <c r="A191" s="42"/>
      <c r="B191" s="35"/>
      <c r="C191" s="35"/>
      <c r="D191" s="35"/>
      <c r="E191" s="35"/>
      <c r="F191" s="35"/>
      <c r="G191" s="35"/>
      <c r="H191" s="36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</row>
    <row r="192" ht="15.75" customHeight="1">
      <c r="A192" s="42"/>
      <c r="B192" s="35"/>
      <c r="C192" s="35"/>
      <c r="D192" s="35"/>
      <c r="E192" s="35"/>
      <c r="F192" s="35"/>
      <c r="G192" s="35"/>
      <c r="H192" s="36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</row>
    <row r="193" ht="15.75" customHeight="1">
      <c r="A193" s="42"/>
      <c r="B193" s="35"/>
      <c r="C193" s="35"/>
      <c r="D193" s="35"/>
      <c r="E193" s="35"/>
      <c r="F193" s="35"/>
      <c r="G193" s="35"/>
      <c r="H193" s="36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</row>
    <row r="194" ht="15.75" customHeight="1">
      <c r="A194" s="42"/>
      <c r="B194" s="35"/>
      <c r="C194" s="35"/>
      <c r="D194" s="35"/>
      <c r="E194" s="35"/>
      <c r="F194" s="35"/>
      <c r="G194" s="35"/>
      <c r="H194" s="36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</row>
    <row r="195" ht="15.75" customHeight="1">
      <c r="A195" s="42"/>
      <c r="B195" s="35"/>
      <c r="C195" s="35"/>
      <c r="D195" s="35"/>
      <c r="E195" s="35"/>
      <c r="F195" s="35"/>
      <c r="G195" s="35"/>
      <c r="H195" s="36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</row>
    <row r="196" ht="15.75" customHeight="1">
      <c r="A196" s="42"/>
      <c r="B196" s="35"/>
      <c r="C196" s="35"/>
      <c r="D196" s="35"/>
      <c r="E196" s="35"/>
      <c r="F196" s="35"/>
      <c r="G196" s="35"/>
      <c r="H196" s="36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</row>
    <row r="197" ht="15.75" customHeight="1">
      <c r="A197" s="42"/>
      <c r="B197" s="35"/>
      <c r="C197" s="35"/>
      <c r="D197" s="35"/>
      <c r="E197" s="35"/>
      <c r="F197" s="35"/>
      <c r="G197" s="35"/>
      <c r="H197" s="36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</row>
    <row r="198" ht="15.75" customHeight="1">
      <c r="A198" s="42"/>
      <c r="B198" s="35"/>
      <c r="C198" s="35"/>
      <c r="D198" s="35"/>
      <c r="E198" s="35"/>
      <c r="F198" s="35"/>
      <c r="G198" s="35"/>
      <c r="H198" s="36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</row>
    <row r="199" ht="15.75" customHeight="1">
      <c r="A199" s="42"/>
      <c r="B199" s="35"/>
      <c r="C199" s="35"/>
      <c r="D199" s="35"/>
      <c r="E199" s="35"/>
      <c r="F199" s="35"/>
      <c r="G199" s="35"/>
      <c r="H199" s="36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</row>
    <row r="200" ht="15.75" customHeight="1">
      <c r="A200" s="42"/>
      <c r="B200" s="35"/>
      <c r="C200" s="35"/>
      <c r="D200" s="35"/>
      <c r="E200" s="35"/>
      <c r="F200" s="35"/>
      <c r="G200" s="35"/>
      <c r="H200" s="36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</row>
    <row r="201" ht="15.75" customHeight="1">
      <c r="A201" s="42"/>
      <c r="B201" s="35"/>
      <c r="C201" s="35"/>
      <c r="D201" s="35"/>
      <c r="E201" s="35"/>
      <c r="F201" s="35"/>
      <c r="G201" s="35"/>
      <c r="H201" s="36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</row>
    <row r="202" ht="15.75" customHeight="1">
      <c r="A202" s="42"/>
      <c r="B202" s="35"/>
      <c r="C202" s="35"/>
      <c r="D202" s="35"/>
      <c r="E202" s="35"/>
      <c r="F202" s="35"/>
      <c r="G202" s="35"/>
      <c r="H202" s="36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</row>
    <row r="203" ht="15.75" customHeight="1">
      <c r="A203" s="42"/>
      <c r="B203" s="35"/>
      <c r="C203" s="35"/>
      <c r="D203" s="35"/>
      <c r="E203" s="35"/>
      <c r="F203" s="35"/>
      <c r="G203" s="35"/>
      <c r="H203" s="36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</row>
    <row r="204" ht="15.75" customHeight="1">
      <c r="A204" s="42"/>
      <c r="B204" s="35"/>
      <c r="C204" s="35"/>
      <c r="D204" s="35"/>
      <c r="E204" s="35"/>
      <c r="F204" s="35"/>
      <c r="G204" s="35"/>
      <c r="H204" s="36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</row>
    <row r="205" ht="15.75" customHeight="1">
      <c r="A205" s="42"/>
      <c r="B205" s="35"/>
      <c r="C205" s="35"/>
      <c r="D205" s="35"/>
      <c r="E205" s="35"/>
      <c r="F205" s="35"/>
      <c r="G205" s="35"/>
      <c r="H205" s="36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</row>
    <row r="206" ht="15.75" customHeight="1">
      <c r="A206" s="42"/>
      <c r="B206" s="35"/>
      <c r="C206" s="35"/>
      <c r="D206" s="35"/>
      <c r="E206" s="35"/>
      <c r="F206" s="35"/>
      <c r="G206" s="35"/>
      <c r="H206" s="36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</row>
    <row r="207" ht="15.75" customHeight="1">
      <c r="A207" s="42"/>
      <c r="B207" s="35"/>
      <c r="C207" s="35"/>
      <c r="D207" s="35"/>
      <c r="E207" s="35"/>
      <c r="F207" s="35"/>
      <c r="G207" s="35"/>
      <c r="H207" s="36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</row>
    <row r="208" ht="15.75" customHeight="1">
      <c r="A208" s="42"/>
      <c r="B208" s="35"/>
      <c r="C208" s="35"/>
      <c r="D208" s="35"/>
      <c r="E208" s="35"/>
      <c r="F208" s="35"/>
      <c r="G208" s="35"/>
      <c r="H208" s="36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</row>
    <row r="209" ht="15.75" customHeight="1">
      <c r="A209" s="42"/>
      <c r="B209" s="35"/>
      <c r="C209" s="35"/>
      <c r="D209" s="35"/>
      <c r="E209" s="35"/>
      <c r="F209" s="35"/>
      <c r="G209" s="35"/>
      <c r="H209" s="36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</row>
    <row r="210" ht="15.75" customHeight="1">
      <c r="A210" s="42"/>
      <c r="B210" s="35"/>
      <c r="C210" s="35"/>
      <c r="D210" s="35"/>
      <c r="E210" s="35"/>
      <c r="F210" s="35"/>
      <c r="G210" s="35"/>
      <c r="H210" s="36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</row>
    <row r="211" ht="15.75" customHeight="1">
      <c r="A211" s="42"/>
      <c r="B211" s="35"/>
      <c r="C211" s="35"/>
      <c r="D211" s="35"/>
      <c r="E211" s="35"/>
      <c r="F211" s="35"/>
      <c r="G211" s="35"/>
      <c r="H211" s="36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</row>
    <row r="212" ht="15.75" customHeight="1">
      <c r="A212" s="42"/>
      <c r="B212" s="35"/>
      <c r="C212" s="35"/>
      <c r="D212" s="35"/>
      <c r="E212" s="35"/>
      <c r="F212" s="35"/>
      <c r="G212" s="35"/>
      <c r="H212" s="36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</row>
    <row r="213" ht="15.75" customHeight="1">
      <c r="A213" s="42"/>
      <c r="B213" s="35"/>
      <c r="C213" s="35"/>
      <c r="D213" s="35"/>
      <c r="E213" s="35"/>
      <c r="F213" s="35"/>
      <c r="G213" s="35"/>
      <c r="H213" s="36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</row>
    <row r="214" ht="15.75" customHeight="1">
      <c r="A214" s="42"/>
      <c r="B214" s="35"/>
      <c r="C214" s="35"/>
      <c r="D214" s="35"/>
      <c r="E214" s="35"/>
      <c r="F214" s="35"/>
      <c r="G214" s="35"/>
      <c r="H214" s="36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</row>
    <row r="215" ht="15.75" customHeight="1">
      <c r="A215" s="42"/>
      <c r="B215" s="35"/>
      <c r="C215" s="35"/>
      <c r="D215" s="35"/>
      <c r="E215" s="35"/>
      <c r="F215" s="35"/>
      <c r="G215" s="35"/>
      <c r="H215" s="36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</row>
    <row r="216" ht="15.75" customHeight="1">
      <c r="A216" s="42"/>
      <c r="B216" s="35"/>
      <c r="C216" s="35"/>
      <c r="D216" s="35"/>
      <c r="E216" s="35"/>
      <c r="F216" s="35"/>
      <c r="G216" s="35"/>
      <c r="H216" s="36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</row>
    <row r="217" ht="15.75" customHeight="1">
      <c r="A217" s="42"/>
      <c r="B217" s="35"/>
      <c r="C217" s="35"/>
      <c r="D217" s="35"/>
      <c r="E217" s="35"/>
      <c r="F217" s="35"/>
      <c r="G217" s="35"/>
      <c r="H217" s="36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</row>
    <row r="218" ht="15.75" customHeight="1">
      <c r="A218" s="42"/>
      <c r="B218" s="35"/>
      <c r="C218" s="35"/>
      <c r="D218" s="35"/>
      <c r="E218" s="35"/>
      <c r="F218" s="35"/>
      <c r="G218" s="35"/>
      <c r="H218" s="36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</row>
    <row r="219" ht="15.75" customHeight="1">
      <c r="A219" s="42"/>
      <c r="B219" s="35"/>
      <c r="C219" s="35"/>
      <c r="D219" s="35"/>
      <c r="E219" s="35"/>
      <c r="F219" s="35"/>
      <c r="G219" s="35"/>
      <c r="H219" s="36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</row>
    <row r="220" ht="15.75" customHeight="1">
      <c r="A220" s="42"/>
      <c r="B220" s="35"/>
      <c r="C220" s="35"/>
      <c r="D220" s="35"/>
      <c r="E220" s="35"/>
      <c r="F220" s="35"/>
      <c r="G220" s="35"/>
      <c r="H220" s="36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</row>
    <row r="221" ht="15.75" customHeight="1">
      <c r="A221" s="42"/>
      <c r="B221" s="35"/>
      <c r="C221" s="35"/>
      <c r="D221" s="35"/>
      <c r="E221" s="35"/>
      <c r="F221" s="35"/>
      <c r="G221" s="35"/>
      <c r="H221" s="36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</row>
    <row r="222" ht="15.75" customHeight="1">
      <c r="A222" s="42"/>
      <c r="B222" s="35"/>
      <c r="C222" s="35"/>
      <c r="D222" s="35"/>
      <c r="E222" s="35"/>
      <c r="F222" s="35"/>
      <c r="G222" s="35"/>
      <c r="H222" s="36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</row>
    <row r="223" ht="15.75" customHeight="1">
      <c r="A223" s="42"/>
      <c r="B223" s="35"/>
      <c r="C223" s="35"/>
      <c r="D223" s="35"/>
      <c r="E223" s="35"/>
      <c r="F223" s="35"/>
      <c r="G223" s="35"/>
      <c r="H223" s="36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</row>
    <row r="224" ht="15.75" customHeight="1">
      <c r="A224" s="42"/>
      <c r="B224" s="35"/>
      <c r="C224" s="35"/>
      <c r="D224" s="35"/>
      <c r="E224" s="35"/>
      <c r="F224" s="35"/>
      <c r="G224" s="35"/>
      <c r="H224" s="36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</row>
    <row r="225" ht="15.75" customHeight="1">
      <c r="A225" s="42"/>
      <c r="B225" s="35"/>
      <c r="C225" s="35"/>
      <c r="D225" s="35"/>
      <c r="E225" s="35"/>
      <c r="F225" s="35"/>
      <c r="G225" s="35"/>
      <c r="H225" s="36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</row>
    <row r="226" ht="15.75" customHeight="1">
      <c r="A226" s="42"/>
      <c r="B226" s="35"/>
      <c r="C226" s="35"/>
      <c r="D226" s="35"/>
      <c r="E226" s="35"/>
      <c r="F226" s="35"/>
      <c r="G226" s="35"/>
      <c r="H226" s="36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</row>
    <row r="227" ht="15.75" customHeight="1">
      <c r="A227" s="42"/>
      <c r="B227" s="35"/>
      <c r="C227" s="35"/>
      <c r="D227" s="35"/>
      <c r="E227" s="35"/>
      <c r="F227" s="35"/>
      <c r="G227" s="35"/>
      <c r="H227" s="36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</row>
    <row r="228" ht="15.75" customHeight="1">
      <c r="A228" s="42"/>
      <c r="B228" s="35"/>
      <c r="C228" s="35"/>
      <c r="D228" s="35"/>
      <c r="E228" s="35"/>
      <c r="F228" s="35"/>
      <c r="G228" s="35"/>
      <c r="H228" s="36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</row>
    <row r="229" ht="15.75" customHeight="1">
      <c r="A229" s="42"/>
      <c r="B229" s="35"/>
      <c r="C229" s="35"/>
      <c r="D229" s="35"/>
      <c r="E229" s="35"/>
      <c r="F229" s="35"/>
      <c r="G229" s="35"/>
      <c r="H229" s="36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</row>
    <row r="230" ht="15.75" customHeight="1">
      <c r="A230" s="42"/>
      <c r="B230" s="35"/>
      <c r="C230" s="35"/>
      <c r="D230" s="35"/>
      <c r="E230" s="35"/>
      <c r="F230" s="35"/>
      <c r="G230" s="35"/>
      <c r="H230" s="36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</row>
    <row r="231" ht="15.75" customHeight="1">
      <c r="A231" s="42"/>
      <c r="B231" s="35"/>
      <c r="C231" s="35"/>
      <c r="D231" s="35"/>
      <c r="E231" s="35"/>
      <c r="F231" s="35"/>
      <c r="G231" s="35"/>
      <c r="H231" s="36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</row>
    <row r="232" ht="15.75" customHeight="1">
      <c r="A232" s="42"/>
      <c r="B232" s="35"/>
      <c r="C232" s="35"/>
      <c r="D232" s="35"/>
      <c r="E232" s="35"/>
      <c r="F232" s="35"/>
      <c r="G232" s="35"/>
      <c r="H232" s="36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</row>
    <row r="233" ht="15.75" customHeight="1">
      <c r="A233" s="42"/>
      <c r="B233" s="35"/>
      <c r="C233" s="35"/>
      <c r="D233" s="35"/>
      <c r="E233" s="35"/>
      <c r="F233" s="35"/>
      <c r="G233" s="35"/>
      <c r="H233" s="36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</row>
    <row r="234" ht="15.75" customHeight="1">
      <c r="A234" s="42"/>
      <c r="B234" s="35"/>
      <c r="C234" s="35"/>
      <c r="D234" s="35"/>
      <c r="E234" s="35"/>
      <c r="F234" s="35"/>
      <c r="G234" s="35"/>
      <c r="H234" s="36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</row>
    <row r="235" ht="15.75" customHeight="1">
      <c r="A235" s="42"/>
      <c r="B235" s="35"/>
      <c r="C235" s="35"/>
      <c r="D235" s="35"/>
      <c r="E235" s="35"/>
      <c r="F235" s="35"/>
      <c r="G235" s="35"/>
      <c r="H235" s="36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</row>
    <row r="236" ht="15.75" customHeight="1">
      <c r="A236" s="42"/>
      <c r="B236" s="35"/>
      <c r="C236" s="35"/>
      <c r="D236" s="35"/>
      <c r="E236" s="35"/>
      <c r="F236" s="35"/>
      <c r="G236" s="35"/>
      <c r="H236" s="36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</row>
    <row r="237" ht="15.75" customHeight="1">
      <c r="A237" s="42"/>
      <c r="B237" s="35"/>
      <c r="C237" s="35"/>
      <c r="D237" s="35"/>
      <c r="E237" s="35"/>
      <c r="F237" s="35"/>
      <c r="G237" s="35"/>
      <c r="H237" s="36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</row>
    <row r="238" ht="15.75" customHeight="1">
      <c r="A238" s="42"/>
      <c r="B238" s="35"/>
      <c r="C238" s="35"/>
      <c r="D238" s="35"/>
      <c r="E238" s="35"/>
      <c r="F238" s="35"/>
      <c r="G238" s="35"/>
      <c r="H238" s="36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</row>
    <row r="239" ht="15.75" customHeight="1">
      <c r="A239" s="42"/>
      <c r="B239" s="35"/>
      <c r="C239" s="35"/>
      <c r="D239" s="35"/>
      <c r="E239" s="35"/>
      <c r="F239" s="35"/>
      <c r="G239" s="35"/>
      <c r="H239" s="36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</row>
    <row r="240" ht="15.75" customHeight="1">
      <c r="A240" s="42"/>
      <c r="B240" s="35"/>
      <c r="C240" s="35"/>
      <c r="D240" s="35"/>
      <c r="E240" s="35"/>
      <c r="F240" s="35"/>
      <c r="G240" s="35"/>
      <c r="H240" s="36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</row>
    <row r="241" ht="15.75" customHeight="1">
      <c r="A241" s="42"/>
      <c r="B241" s="35"/>
      <c r="C241" s="35"/>
      <c r="D241" s="35"/>
      <c r="E241" s="35"/>
      <c r="F241" s="35"/>
      <c r="G241" s="35"/>
      <c r="H241" s="36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</row>
    <row r="242" ht="15.75" customHeight="1">
      <c r="A242" s="42"/>
      <c r="B242" s="35"/>
      <c r="C242" s="35"/>
      <c r="D242" s="35"/>
      <c r="E242" s="35"/>
      <c r="F242" s="35"/>
      <c r="G242" s="35"/>
      <c r="H242" s="36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</row>
    <row r="243" ht="15.75" customHeight="1">
      <c r="A243" s="42"/>
      <c r="B243" s="35"/>
      <c r="C243" s="35"/>
      <c r="D243" s="35"/>
      <c r="E243" s="35"/>
      <c r="F243" s="35"/>
      <c r="G243" s="35"/>
      <c r="H243" s="36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</row>
    <row r="244" ht="15.75" customHeight="1">
      <c r="A244" s="42"/>
      <c r="B244" s="35"/>
      <c r="C244" s="35"/>
      <c r="D244" s="35"/>
      <c r="E244" s="35"/>
      <c r="F244" s="35"/>
      <c r="G244" s="35"/>
      <c r="H244" s="36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</row>
    <row r="245" ht="15.75" customHeight="1">
      <c r="A245" s="42"/>
      <c r="B245" s="35"/>
      <c r="C245" s="35"/>
      <c r="D245" s="35"/>
      <c r="E245" s="35"/>
      <c r="F245" s="35"/>
      <c r="G245" s="35"/>
      <c r="H245" s="36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</row>
    <row r="246" ht="15.75" customHeight="1">
      <c r="A246" s="42"/>
      <c r="B246" s="35"/>
      <c r="C246" s="35"/>
      <c r="D246" s="35"/>
      <c r="E246" s="35"/>
      <c r="F246" s="35"/>
      <c r="G246" s="35"/>
      <c r="H246" s="36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</row>
    <row r="247" ht="15.75" customHeight="1">
      <c r="A247" s="42"/>
      <c r="B247" s="35"/>
      <c r="C247" s="35"/>
      <c r="D247" s="35"/>
      <c r="E247" s="35"/>
      <c r="F247" s="35"/>
      <c r="G247" s="35"/>
      <c r="H247" s="36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</row>
    <row r="248" ht="15.75" customHeight="1">
      <c r="A248" s="42"/>
      <c r="B248" s="35"/>
      <c r="C248" s="35"/>
      <c r="D248" s="35"/>
      <c r="E248" s="35"/>
      <c r="F248" s="35"/>
      <c r="G248" s="35"/>
      <c r="H248" s="36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</row>
    <row r="249" ht="15.75" customHeight="1">
      <c r="A249" s="42"/>
      <c r="B249" s="35"/>
      <c r="C249" s="35"/>
      <c r="D249" s="35"/>
      <c r="E249" s="35"/>
      <c r="F249" s="35"/>
      <c r="G249" s="35"/>
      <c r="H249" s="36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</row>
    <row r="250" ht="15.75" customHeight="1">
      <c r="A250" s="42"/>
      <c r="B250" s="35"/>
      <c r="C250" s="35"/>
      <c r="D250" s="35"/>
      <c r="E250" s="35"/>
      <c r="F250" s="35"/>
      <c r="G250" s="35"/>
      <c r="H250" s="36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</row>
    <row r="251" ht="15.75" customHeight="1">
      <c r="A251" s="42"/>
      <c r="B251" s="35"/>
      <c r="C251" s="35"/>
      <c r="D251" s="35"/>
      <c r="E251" s="35"/>
      <c r="F251" s="35"/>
      <c r="G251" s="35"/>
      <c r="H251" s="36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</row>
    <row r="252" ht="15.75" customHeight="1">
      <c r="A252" s="42"/>
      <c r="B252" s="35"/>
      <c r="C252" s="35"/>
      <c r="D252" s="35"/>
      <c r="E252" s="35"/>
      <c r="F252" s="35"/>
      <c r="G252" s="35"/>
      <c r="H252" s="36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</row>
    <row r="253" ht="15.75" customHeight="1">
      <c r="A253" s="42"/>
      <c r="B253" s="35"/>
      <c r="C253" s="35"/>
      <c r="D253" s="35"/>
      <c r="E253" s="35"/>
      <c r="F253" s="35"/>
      <c r="G253" s="35"/>
      <c r="H253" s="36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</row>
    <row r="254" ht="15.75" customHeight="1">
      <c r="A254" s="42"/>
      <c r="B254" s="35"/>
      <c r="C254" s="35"/>
      <c r="D254" s="35"/>
      <c r="E254" s="35"/>
      <c r="F254" s="35"/>
      <c r="G254" s="35"/>
      <c r="H254" s="36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</row>
    <row r="255" ht="15.75" customHeight="1">
      <c r="A255" s="42"/>
      <c r="B255" s="35"/>
      <c r="C255" s="35"/>
      <c r="D255" s="35"/>
      <c r="E255" s="35"/>
      <c r="F255" s="35"/>
      <c r="G255" s="35"/>
      <c r="H255" s="36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</row>
    <row r="256" ht="15.75" customHeight="1">
      <c r="A256" s="42"/>
      <c r="B256" s="35"/>
      <c r="C256" s="35"/>
      <c r="D256" s="35"/>
      <c r="E256" s="35"/>
      <c r="F256" s="35"/>
      <c r="G256" s="35"/>
      <c r="H256" s="36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</row>
    <row r="257" ht="15.75" customHeight="1">
      <c r="A257" s="42"/>
      <c r="B257" s="35"/>
      <c r="C257" s="35"/>
      <c r="D257" s="35"/>
      <c r="E257" s="35"/>
      <c r="F257" s="35"/>
      <c r="G257" s="35"/>
      <c r="H257" s="36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</row>
    <row r="258" ht="15.75" customHeight="1">
      <c r="A258" s="42"/>
      <c r="B258" s="35"/>
      <c r="C258" s="35"/>
      <c r="D258" s="35"/>
      <c r="E258" s="35"/>
      <c r="F258" s="35"/>
      <c r="G258" s="35"/>
      <c r="H258" s="36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</row>
    <row r="259" ht="15.75" customHeight="1">
      <c r="A259" s="42"/>
      <c r="B259" s="35"/>
      <c r="C259" s="35"/>
      <c r="D259" s="35"/>
      <c r="E259" s="35"/>
      <c r="F259" s="35"/>
      <c r="G259" s="35"/>
      <c r="H259" s="36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</row>
    <row r="260" ht="15.75" customHeight="1">
      <c r="A260" s="42"/>
      <c r="B260" s="35"/>
      <c r="C260" s="35"/>
      <c r="D260" s="35"/>
      <c r="E260" s="35"/>
      <c r="F260" s="35"/>
      <c r="G260" s="35"/>
      <c r="H260" s="36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</row>
    <row r="261" ht="15.75" customHeight="1">
      <c r="A261" s="42"/>
      <c r="B261" s="35"/>
      <c r="C261" s="35"/>
      <c r="D261" s="35"/>
      <c r="E261" s="35"/>
      <c r="F261" s="35"/>
      <c r="G261" s="35"/>
      <c r="H261" s="36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</row>
    <row r="262" ht="15.75" customHeight="1">
      <c r="A262" s="42"/>
      <c r="B262" s="35"/>
      <c r="C262" s="35"/>
      <c r="D262" s="35"/>
      <c r="E262" s="35"/>
      <c r="F262" s="35"/>
      <c r="G262" s="35"/>
      <c r="H262" s="36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</row>
    <row r="263" ht="15.75" customHeight="1">
      <c r="A263" s="42"/>
      <c r="B263" s="35"/>
      <c r="C263" s="35"/>
      <c r="D263" s="35"/>
      <c r="E263" s="35"/>
      <c r="F263" s="35"/>
      <c r="G263" s="35"/>
      <c r="H263" s="36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</row>
    <row r="264" ht="15.75" customHeight="1">
      <c r="A264" s="42"/>
      <c r="B264" s="35"/>
      <c r="C264" s="35"/>
      <c r="D264" s="35"/>
      <c r="E264" s="35"/>
      <c r="F264" s="35"/>
      <c r="G264" s="35"/>
      <c r="H264" s="36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</row>
    <row r="265" ht="15.75" customHeight="1">
      <c r="A265" s="42"/>
      <c r="B265" s="35"/>
      <c r="C265" s="35"/>
      <c r="D265" s="35"/>
      <c r="E265" s="35"/>
      <c r="F265" s="35"/>
      <c r="G265" s="35"/>
      <c r="H265" s="36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</row>
    <row r="266" ht="15.75" customHeight="1">
      <c r="A266" s="42"/>
      <c r="B266" s="35"/>
      <c r="C266" s="35"/>
      <c r="D266" s="35"/>
      <c r="E266" s="35"/>
      <c r="F266" s="35"/>
      <c r="G266" s="35"/>
      <c r="H266" s="36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</row>
    <row r="267" ht="15.75" customHeight="1">
      <c r="A267" s="42"/>
      <c r="B267" s="35"/>
      <c r="C267" s="35"/>
      <c r="D267" s="35"/>
      <c r="E267" s="35"/>
      <c r="F267" s="35"/>
      <c r="G267" s="35"/>
      <c r="H267" s="36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</row>
    <row r="268" ht="15.75" customHeight="1">
      <c r="A268" s="42"/>
      <c r="B268" s="35"/>
      <c r="C268" s="35"/>
      <c r="D268" s="35"/>
      <c r="E268" s="35"/>
      <c r="F268" s="35"/>
      <c r="G268" s="35"/>
      <c r="H268" s="36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</row>
    <row r="269" ht="15.75" customHeight="1">
      <c r="A269" s="42"/>
      <c r="B269" s="35"/>
      <c r="C269" s="35"/>
      <c r="D269" s="35"/>
      <c r="E269" s="35"/>
      <c r="F269" s="35"/>
      <c r="G269" s="35"/>
      <c r="H269" s="36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</row>
    <row r="270" ht="15.75" customHeight="1">
      <c r="A270" s="42"/>
      <c r="B270" s="35"/>
      <c r="C270" s="35"/>
      <c r="D270" s="35"/>
      <c r="E270" s="35"/>
      <c r="F270" s="35"/>
      <c r="G270" s="35"/>
      <c r="H270" s="36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</row>
    <row r="271" ht="15.75" customHeight="1">
      <c r="A271" s="42"/>
      <c r="B271" s="35"/>
      <c r="C271" s="35"/>
      <c r="D271" s="35"/>
      <c r="E271" s="35"/>
      <c r="F271" s="35"/>
      <c r="G271" s="35"/>
      <c r="H271" s="36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</row>
    <row r="272" ht="15.75" customHeight="1">
      <c r="A272" s="42"/>
      <c r="B272" s="35"/>
      <c r="C272" s="35"/>
      <c r="D272" s="35"/>
      <c r="E272" s="35"/>
      <c r="F272" s="35"/>
      <c r="G272" s="35"/>
      <c r="H272" s="36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</row>
    <row r="273" ht="15.75" customHeight="1">
      <c r="A273" s="42"/>
      <c r="B273" s="35"/>
      <c r="C273" s="35"/>
      <c r="D273" s="35"/>
      <c r="E273" s="35"/>
      <c r="F273" s="35"/>
      <c r="G273" s="35"/>
      <c r="H273" s="36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</row>
    <row r="274" ht="15.75" customHeight="1">
      <c r="A274" s="42"/>
      <c r="B274" s="35"/>
      <c r="C274" s="35"/>
      <c r="D274" s="35"/>
      <c r="E274" s="35"/>
      <c r="F274" s="35"/>
      <c r="G274" s="35"/>
      <c r="H274" s="36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</row>
    <row r="275" ht="15.75" customHeight="1">
      <c r="A275" s="42"/>
      <c r="B275" s="35"/>
      <c r="C275" s="35"/>
      <c r="D275" s="35"/>
      <c r="E275" s="35"/>
      <c r="F275" s="35"/>
      <c r="G275" s="35"/>
      <c r="H275" s="36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</row>
    <row r="276" ht="15.75" customHeight="1">
      <c r="A276" s="42"/>
      <c r="B276" s="35"/>
      <c r="C276" s="35"/>
      <c r="D276" s="35"/>
      <c r="E276" s="35"/>
      <c r="F276" s="35"/>
      <c r="G276" s="35"/>
      <c r="H276" s="36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</row>
    <row r="277" ht="15.75" customHeight="1">
      <c r="A277" s="42"/>
      <c r="B277" s="35"/>
      <c r="C277" s="35"/>
      <c r="D277" s="35"/>
      <c r="E277" s="35"/>
      <c r="F277" s="35"/>
      <c r="G277" s="35"/>
      <c r="H277" s="36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</row>
    <row r="278" ht="15.75" customHeight="1">
      <c r="A278" s="42"/>
      <c r="B278" s="35"/>
      <c r="C278" s="35"/>
      <c r="D278" s="35"/>
      <c r="E278" s="35"/>
      <c r="F278" s="35"/>
      <c r="G278" s="35"/>
      <c r="H278" s="36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</row>
    <row r="279" ht="15.75" customHeight="1">
      <c r="A279" s="42"/>
      <c r="B279" s="35"/>
      <c r="C279" s="35"/>
      <c r="D279" s="35"/>
      <c r="E279" s="35"/>
      <c r="F279" s="35"/>
      <c r="G279" s="35"/>
      <c r="H279" s="36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</row>
    <row r="280" ht="15.75" customHeight="1">
      <c r="A280" s="42"/>
      <c r="B280" s="35"/>
      <c r="C280" s="35"/>
      <c r="D280" s="35"/>
      <c r="E280" s="35"/>
      <c r="F280" s="35"/>
      <c r="G280" s="35"/>
      <c r="H280" s="36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</row>
    <row r="281" ht="15.75" customHeight="1">
      <c r="A281" s="42"/>
      <c r="B281" s="35"/>
      <c r="C281" s="35"/>
      <c r="D281" s="35"/>
      <c r="E281" s="35"/>
      <c r="F281" s="35"/>
      <c r="G281" s="35"/>
      <c r="H281" s="36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</row>
    <row r="282" ht="15.75" customHeight="1">
      <c r="A282" s="42"/>
      <c r="B282" s="35"/>
      <c r="C282" s="35"/>
      <c r="D282" s="35"/>
      <c r="E282" s="35"/>
      <c r="F282" s="35"/>
      <c r="G282" s="35"/>
      <c r="H282" s="36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</row>
    <row r="283" ht="15.75" customHeight="1">
      <c r="A283" s="42"/>
      <c r="B283" s="35"/>
      <c r="C283" s="35"/>
      <c r="D283" s="35"/>
      <c r="E283" s="35"/>
      <c r="F283" s="35"/>
      <c r="G283" s="35"/>
      <c r="H283" s="36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</row>
    <row r="284" ht="15.75" customHeight="1">
      <c r="A284" s="42"/>
      <c r="B284" s="35"/>
      <c r="C284" s="35"/>
      <c r="D284" s="35"/>
      <c r="E284" s="35"/>
      <c r="F284" s="35"/>
      <c r="G284" s="35"/>
      <c r="H284" s="36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</row>
    <row r="285" ht="15.75" customHeight="1">
      <c r="A285" s="42"/>
      <c r="B285" s="35"/>
      <c r="C285" s="35"/>
      <c r="D285" s="35"/>
      <c r="E285" s="35"/>
      <c r="F285" s="35"/>
      <c r="G285" s="35"/>
      <c r="H285" s="36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</row>
    <row r="286" ht="15.75" customHeight="1">
      <c r="A286" s="42"/>
      <c r="B286" s="35"/>
      <c r="C286" s="35"/>
      <c r="D286" s="35"/>
      <c r="E286" s="35"/>
      <c r="F286" s="35"/>
      <c r="G286" s="35"/>
      <c r="H286" s="36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</row>
    <row r="287" ht="15.75" customHeight="1">
      <c r="A287" s="42"/>
      <c r="B287" s="35"/>
      <c r="C287" s="35"/>
      <c r="D287" s="35"/>
      <c r="E287" s="35"/>
      <c r="F287" s="35"/>
      <c r="G287" s="35"/>
      <c r="H287" s="36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</row>
    <row r="288" ht="15.75" customHeight="1">
      <c r="A288" s="42"/>
      <c r="B288" s="35"/>
      <c r="C288" s="35"/>
      <c r="D288" s="35"/>
      <c r="E288" s="35"/>
      <c r="F288" s="35"/>
      <c r="G288" s="35"/>
      <c r="H288" s="36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</row>
    <row r="289" ht="15.75" customHeight="1">
      <c r="A289" s="42"/>
      <c r="B289" s="35"/>
      <c r="C289" s="35"/>
      <c r="D289" s="35"/>
      <c r="E289" s="35"/>
      <c r="F289" s="35"/>
      <c r="G289" s="35"/>
      <c r="H289" s="36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</row>
    <row r="290" ht="15.75" customHeight="1">
      <c r="A290" s="42"/>
      <c r="B290" s="35"/>
      <c r="C290" s="35"/>
      <c r="D290" s="35"/>
      <c r="E290" s="35"/>
      <c r="F290" s="35"/>
      <c r="G290" s="35"/>
      <c r="H290" s="36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</row>
    <row r="291" ht="15.75" customHeight="1">
      <c r="A291" s="42"/>
      <c r="B291" s="35"/>
      <c r="C291" s="35"/>
      <c r="D291" s="35"/>
      <c r="E291" s="35"/>
      <c r="F291" s="35"/>
      <c r="G291" s="35"/>
      <c r="H291" s="36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</row>
    <row r="292" ht="15.75" customHeight="1">
      <c r="A292" s="42"/>
      <c r="B292" s="35"/>
      <c r="C292" s="35"/>
      <c r="D292" s="35"/>
      <c r="E292" s="35"/>
      <c r="F292" s="35"/>
      <c r="G292" s="35"/>
      <c r="H292" s="36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</row>
    <row r="293" ht="15.75" customHeight="1">
      <c r="A293" s="42"/>
      <c r="B293" s="35"/>
      <c r="C293" s="35"/>
      <c r="D293" s="35"/>
      <c r="E293" s="35"/>
      <c r="F293" s="35"/>
      <c r="G293" s="35"/>
      <c r="H293" s="36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</row>
    <row r="294" ht="15.75" customHeight="1">
      <c r="A294" s="42"/>
      <c r="B294" s="35"/>
      <c r="C294" s="35"/>
      <c r="D294" s="35"/>
      <c r="E294" s="35"/>
      <c r="F294" s="35"/>
      <c r="G294" s="35"/>
      <c r="H294" s="36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</row>
    <row r="295" ht="15.75" customHeight="1">
      <c r="A295" s="42"/>
      <c r="B295" s="35"/>
      <c r="C295" s="35"/>
      <c r="D295" s="35"/>
      <c r="E295" s="35"/>
      <c r="F295" s="35"/>
      <c r="G295" s="35"/>
      <c r="H295" s="36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</row>
    <row r="296" ht="15.75" customHeight="1">
      <c r="A296" s="42"/>
      <c r="B296" s="35"/>
      <c r="C296" s="35"/>
      <c r="D296" s="35"/>
      <c r="E296" s="35"/>
      <c r="F296" s="35"/>
      <c r="G296" s="35"/>
      <c r="H296" s="36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</row>
    <row r="297" ht="15.75" customHeight="1">
      <c r="A297" s="42"/>
      <c r="B297" s="35"/>
      <c r="C297" s="35"/>
      <c r="D297" s="35"/>
      <c r="E297" s="35"/>
      <c r="F297" s="35"/>
      <c r="G297" s="35"/>
      <c r="H297" s="36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</row>
    <row r="298" ht="15.75" customHeight="1">
      <c r="A298" s="42"/>
      <c r="B298" s="35"/>
      <c r="C298" s="35"/>
      <c r="D298" s="35"/>
      <c r="E298" s="35"/>
      <c r="F298" s="35"/>
      <c r="G298" s="35"/>
      <c r="H298" s="36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</row>
    <row r="299" ht="15.75" customHeight="1">
      <c r="A299" s="42"/>
      <c r="B299" s="35"/>
      <c r="C299" s="35"/>
      <c r="D299" s="35"/>
      <c r="E299" s="35"/>
      <c r="F299" s="35"/>
      <c r="G299" s="35"/>
      <c r="H299" s="36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</row>
    <row r="300" ht="15.75" customHeight="1">
      <c r="A300" s="42"/>
      <c r="B300" s="35"/>
      <c r="C300" s="35"/>
      <c r="D300" s="35"/>
      <c r="E300" s="35"/>
      <c r="F300" s="35"/>
      <c r="G300" s="35"/>
      <c r="H300" s="36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</row>
    <row r="301" ht="15.75" customHeight="1">
      <c r="A301" s="42"/>
      <c r="B301" s="35"/>
      <c r="C301" s="35"/>
      <c r="D301" s="35"/>
      <c r="E301" s="35"/>
      <c r="F301" s="35"/>
      <c r="G301" s="35"/>
      <c r="H301" s="36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</row>
    <row r="302" ht="15.75" customHeight="1">
      <c r="A302" s="42"/>
      <c r="B302" s="35"/>
      <c r="C302" s="35"/>
      <c r="D302" s="35"/>
      <c r="E302" s="35"/>
      <c r="F302" s="35"/>
      <c r="G302" s="35"/>
      <c r="H302" s="36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</row>
    <row r="303" ht="15.75" customHeight="1">
      <c r="A303" s="42"/>
      <c r="B303" s="35"/>
      <c r="C303" s="35"/>
      <c r="D303" s="35"/>
      <c r="E303" s="35"/>
      <c r="F303" s="35"/>
      <c r="G303" s="35"/>
      <c r="H303" s="36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</row>
    <row r="304" ht="15.75" customHeight="1">
      <c r="A304" s="42"/>
      <c r="B304" s="35"/>
      <c r="C304" s="35"/>
      <c r="D304" s="35"/>
      <c r="E304" s="35"/>
      <c r="F304" s="35"/>
      <c r="G304" s="35"/>
      <c r="H304" s="36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</row>
    <row r="305" ht="15.75" customHeight="1">
      <c r="A305" s="42"/>
      <c r="B305" s="35"/>
      <c r="C305" s="35"/>
      <c r="D305" s="35"/>
      <c r="E305" s="35"/>
      <c r="F305" s="35"/>
      <c r="G305" s="35"/>
      <c r="H305" s="36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</row>
    <row r="306" ht="15.75" customHeight="1">
      <c r="A306" s="42"/>
      <c r="B306" s="35"/>
      <c r="C306" s="35"/>
      <c r="D306" s="35"/>
      <c r="E306" s="35"/>
      <c r="F306" s="35"/>
      <c r="G306" s="35"/>
      <c r="H306" s="36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</row>
    <row r="307" ht="15.75" customHeight="1">
      <c r="A307" s="42"/>
      <c r="B307" s="35"/>
      <c r="C307" s="35"/>
      <c r="D307" s="35"/>
      <c r="E307" s="35"/>
      <c r="F307" s="35"/>
      <c r="G307" s="35"/>
      <c r="H307" s="36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</row>
    <row r="308" ht="15.75" customHeight="1">
      <c r="A308" s="42"/>
      <c r="B308" s="35"/>
      <c r="C308" s="35"/>
      <c r="D308" s="35"/>
      <c r="E308" s="35"/>
      <c r="F308" s="35"/>
      <c r="G308" s="35"/>
      <c r="H308" s="36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</row>
    <row r="309" ht="15.75" customHeight="1">
      <c r="A309" s="42"/>
      <c r="B309" s="35"/>
      <c r="C309" s="35"/>
      <c r="D309" s="35"/>
      <c r="E309" s="35"/>
      <c r="F309" s="35"/>
      <c r="G309" s="35"/>
      <c r="H309" s="36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</row>
    <row r="310" ht="15.75" customHeight="1">
      <c r="A310" s="42"/>
      <c r="B310" s="35"/>
      <c r="C310" s="35"/>
      <c r="D310" s="35"/>
      <c r="E310" s="35"/>
      <c r="F310" s="35"/>
      <c r="G310" s="35"/>
      <c r="H310" s="36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</row>
    <row r="311" ht="15.75" customHeight="1">
      <c r="A311" s="42"/>
      <c r="B311" s="35"/>
      <c r="C311" s="35"/>
      <c r="D311" s="35"/>
      <c r="E311" s="35"/>
      <c r="F311" s="35"/>
      <c r="G311" s="35"/>
      <c r="H311" s="36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</row>
    <row r="312" ht="15.75" customHeight="1">
      <c r="A312" s="42"/>
      <c r="B312" s="35"/>
      <c r="C312" s="35"/>
      <c r="D312" s="35"/>
      <c r="E312" s="35"/>
      <c r="F312" s="35"/>
      <c r="G312" s="35"/>
      <c r="H312" s="36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</row>
    <row r="313" ht="15.75" customHeight="1">
      <c r="A313" s="42"/>
      <c r="B313" s="35"/>
      <c r="C313" s="35"/>
      <c r="D313" s="35"/>
      <c r="E313" s="35"/>
      <c r="F313" s="35"/>
      <c r="G313" s="35"/>
      <c r="H313" s="36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</row>
    <row r="314" ht="15.75" customHeight="1">
      <c r="A314" s="42"/>
      <c r="B314" s="35"/>
      <c r="C314" s="35"/>
      <c r="D314" s="35"/>
      <c r="E314" s="35"/>
      <c r="F314" s="35"/>
      <c r="G314" s="35"/>
      <c r="H314" s="36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</row>
    <row r="315" ht="15.75" customHeight="1">
      <c r="A315" s="42"/>
      <c r="B315" s="35"/>
      <c r="C315" s="35"/>
      <c r="D315" s="35"/>
      <c r="E315" s="35"/>
      <c r="F315" s="35"/>
      <c r="G315" s="35"/>
      <c r="H315" s="36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</row>
    <row r="316" ht="15.75" customHeight="1">
      <c r="A316" s="42"/>
      <c r="B316" s="35"/>
      <c r="C316" s="35"/>
      <c r="D316" s="35"/>
      <c r="E316" s="35"/>
      <c r="F316" s="35"/>
      <c r="G316" s="35"/>
      <c r="H316" s="36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</row>
    <row r="317" ht="15.75" customHeight="1">
      <c r="A317" s="42"/>
      <c r="B317" s="35"/>
      <c r="C317" s="35"/>
      <c r="D317" s="35"/>
      <c r="E317" s="35"/>
      <c r="F317" s="35"/>
      <c r="G317" s="35"/>
      <c r="H317" s="36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</row>
    <row r="318" ht="15.75" customHeight="1">
      <c r="A318" s="42"/>
      <c r="B318" s="35"/>
      <c r="C318" s="35"/>
      <c r="D318" s="35"/>
      <c r="E318" s="35"/>
      <c r="F318" s="35"/>
      <c r="G318" s="35"/>
      <c r="H318" s="36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</row>
    <row r="319" ht="15.75" customHeight="1">
      <c r="A319" s="42"/>
      <c r="B319" s="35"/>
      <c r="C319" s="35"/>
      <c r="D319" s="35"/>
      <c r="E319" s="35"/>
      <c r="F319" s="35"/>
      <c r="G319" s="35"/>
      <c r="H319" s="36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</row>
    <row r="320" ht="15.75" customHeight="1">
      <c r="A320" s="42"/>
      <c r="B320" s="35"/>
      <c r="C320" s="35"/>
      <c r="D320" s="35"/>
      <c r="E320" s="35"/>
      <c r="F320" s="35"/>
      <c r="G320" s="35"/>
      <c r="H320" s="36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</row>
    <row r="321" ht="15.75" customHeight="1">
      <c r="A321" s="42"/>
      <c r="B321" s="35"/>
      <c r="C321" s="35"/>
      <c r="D321" s="35"/>
      <c r="E321" s="35"/>
      <c r="F321" s="35"/>
      <c r="G321" s="35"/>
      <c r="H321" s="36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</row>
    <row r="322" ht="15.75" customHeight="1">
      <c r="A322" s="42"/>
      <c r="B322" s="35"/>
      <c r="C322" s="35"/>
      <c r="D322" s="35"/>
      <c r="E322" s="35"/>
      <c r="F322" s="35"/>
      <c r="G322" s="35"/>
      <c r="H322" s="36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</row>
    <row r="323" ht="15.75" customHeight="1">
      <c r="A323" s="42"/>
      <c r="B323" s="35"/>
      <c r="C323" s="35"/>
      <c r="D323" s="35"/>
      <c r="E323" s="35"/>
      <c r="F323" s="35"/>
      <c r="G323" s="35"/>
      <c r="H323" s="36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</row>
    <row r="324" ht="15.75" customHeight="1">
      <c r="A324" s="42"/>
      <c r="B324" s="35"/>
      <c r="C324" s="35"/>
      <c r="D324" s="35"/>
      <c r="E324" s="35"/>
      <c r="F324" s="35"/>
      <c r="G324" s="35"/>
      <c r="H324" s="36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</row>
    <row r="325" ht="15.75" customHeight="1">
      <c r="A325" s="42"/>
      <c r="B325" s="35"/>
      <c r="C325" s="35"/>
      <c r="D325" s="35"/>
      <c r="E325" s="35"/>
      <c r="F325" s="35"/>
      <c r="G325" s="35"/>
      <c r="H325" s="36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</row>
    <row r="326" ht="15.75" customHeight="1">
      <c r="A326" s="42"/>
      <c r="B326" s="35"/>
      <c r="C326" s="35"/>
      <c r="D326" s="35"/>
      <c r="E326" s="35"/>
      <c r="F326" s="35"/>
      <c r="G326" s="35"/>
      <c r="H326" s="36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</row>
    <row r="327" ht="15.75" customHeight="1">
      <c r="A327" s="42"/>
      <c r="B327" s="35"/>
      <c r="C327" s="35"/>
      <c r="D327" s="35"/>
      <c r="E327" s="35"/>
      <c r="F327" s="35"/>
      <c r="G327" s="35"/>
      <c r="H327" s="36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</row>
    <row r="328" ht="15.75" customHeight="1">
      <c r="A328" s="42"/>
      <c r="B328" s="35"/>
      <c r="C328" s="35"/>
      <c r="D328" s="35"/>
      <c r="E328" s="35"/>
      <c r="F328" s="35"/>
      <c r="G328" s="35"/>
      <c r="H328" s="36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</row>
    <row r="329" ht="15.75" customHeight="1">
      <c r="A329" s="42"/>
      <c r="B329" s="35"/>
      <c r="C329" s="35"/>
      <c r="D329" s="35"/>
      <c r="E329" s="35"/>
      <c r="F329" s="35"/>
      <c r="G329" s="35"/>
      <c r="H329" s="36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</row>
    <row r="330" ht="15.75" customHeight="1">
      <c r="A330" s="42"/>
      <c r="B330" s="35"/>
      <c r="C330" s="35"/>
      <c r="D330" s="35"/>
      <c r="E330" s="35"/>
      <c r="F330" s="35"/>
      <c r="G330" s="35"/>
      <c r="H330" s="36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</row>
    <row r="331" ht="15.75" customHeight="1">
      <c r="A331" s="42"/>
      <c r="B331" s="35"/>
      <c r="C331" s="35"/>
      <c r="D331" s="35"/>
      <c r="E331" s="35"/>
      <c r="F331" s="35"/>
      <c r="G331" s="35"/>
      <c r="H331" s="36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</row>
    <row r="332" ht="15.75" customHeight="1">
      <c r="A332" s="42"/>
      <c r="B332" s="35"/>
      <c r="C332" s="35"/>
      <c r="D332" s="35"/>
      <c r="E332" s="35"/>
      <c r="F332" s="35"/>
      <c r="G332" s="35"/>
      <c r="H332" s="36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</row>
    <row r="333" ht="15.75" customHeight="1">
      <c r="A333" s="42"/>
      <c r="B333" s="35"/>
      <c r="C333" s="35"/>
      <c r="D333" s="35"/>
      <c r="E333" s="35"/>
      <c r="F333" s="35"/>
      <c r="G333" s="35"/>
      <c r="H333" s="36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</row>
    <row r="334" ht="15.75" customHeight="1">
      <c r="A334" s="42"/>
      <c r="B334" s="35"/>
      <c r="C334" s="35"/>
      <c r="D334" s="35"/>
      <c r="E334" s="35"/>
      <c r="F334" s="35"/>
      <c r="G334" s="35"/>
      <c r="H334" s="36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</row>
    <row r="335" ht="15.75" customHeight="1">
      <c r="A335" s="42"/>
      <c r="B335" s="35"/>
      <c r="C335" s="35"/>
      <c r="D335" s="35"/>
      <c r="E335" s="35"/>
      <c r="F335" s="35"/>
      <c r="G335" s="35"/>
      <c r="H335" s="36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</row>
    <row r="336" ht="15.75" customHeight="1">
      <c r="A336" s="42"/>
      <c r="B336" s="35"/>
      <c r="C336" s="35"/>
      <c r="D336" s="35"/>
      <c r="E336" s="35"/>
      <c r="F336" s="35"/>
      <c r="G336" s="35"/>
      <c r="H336" s="36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</row>
    <row r="337" ht="15.75" customHeight="1">
      <c r="A337" s="42"/>
      <c r="B337" s="35"/>
      <c r="C337" s="35"/>
      <c r="D337" s="35"/>
      <c r="E337" s="35"/>
      <c r="F337" s="35"/>
      <c r="G337" s="35"/>
      <c r="H337" s="36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</row>
    <row r="338" ht="15.75" customHeight="1">
      <c r="A338" s="42"/>
      <c r="B338" s="35"/>
      <c r="C338" s="35"/>
      <c r="D338" s="35"/>
      <c r="E338" s="35"/>
      <c r="F338" s="35"/>
      <c r="G338" s="35"/>
      <c r="H338" s="36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</row>
    <row r="339" ht="15.75" customHeight="1">
      <c r="A339" s="42"/>
      <c r="B339" s="35"/>
      <c r="C339" s="35"/>
      <c r="D339" s="35"/>
      <c r="E339" s="35"/>
      <c r="F339" s="35"/>
      <c r="G339" s="35"/>
      <c r="H339" s="36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</row>
    <row r="340" ht="15.75" customHeight="1">
      <c r="A340" s="42"/>
      <c r="B340" s="35"/>
      <c r="C340" s="35"/>
      <c r="D340" s="35"/>
      <c r="E340" s="35"/>
      <c r="F340" s="35"/>
      <c r="G340" s="35"/>
      <c r="H340" s="36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</row>
    <row r="341" ht="15.75" customHeight="1">
      <c r="A341" s="42"/>
      <c r="B341" s="35"/>
      <c r="C341" s="35"/>
      <c r="D341" s="35"/>
      <c r="E341" s="35"/>
      <c r="F341" s="35"/>
      <c r="G341" s="35"/>
      <c r="H341" s="36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</row>
    <row r="342" ht="15.75" customHeight="1">
      <c r="A342" s="42"/>
      <c r="B342" s="35"/>
      <c r="C342" s="35"/>
      <c r="D342" s="35"/>
      <c r="E342" s="35"/>
      <c r="F342" s="35"/>
      <c r="G342" s="35"/>
      <c r="H342" s="36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</row>
    <row r="343" ht="15.75" customHeight="1">
      <c r="A343" s="42"/>
      <c r="B343" s="35"/>
      <c r="C343" s="35"/>
      <c r="D343" s="35"/>
      <c r="E343" s="35"/>
      <c r="F343" s="35"/>
      <c r="G343" s="35"/>
      <c r="H343" s="36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</row>
    <row r="344" ht="15.75" customHeight="1">
      <c r="A344" s="42"/>
      <c r="B344" s="35"/>
      <c r="C344" s="35"/>
      <c r="D344" s="35"/>
      <c r="E344" s="35"/>
      <c r="F344" s="35"/>
      <c r="G344" s="35"/>
      <c r="H344" s="36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</row>
    <row r="345" ht="15.75" customHeight="1">
      <c r="A345" s="42"/>
      <c r="B345" s="35"/>
      <c r="C345" s="35"/>
      <c r="D345" s="35"/>
      <c r="E345" s="35"/>
      <c r="F345" s="35"/>
      <c r="G345" s="35"/>
      <c r="H345" s="36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</row>
    <row r="346" ht="15.75" customHeight="1">
      <c r="A346" s="42"/>
      <c r="B346" s="35"/>
      <c r="C346" s="35"/>
      <c r="D346" s="35"/>
      <c r="E346" s="35"/>
      <c r="F346" s="35"/>
      <c r="G346" s="35"/>
      <c r="H346" s="36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</row>
    <row r="347" ht="15.75" customHeight="1">
      <c r="A347" s="42"/>
      <c r="B347" s="35"/>
      <c r="C347" s="35"/>
      <c r="D347" s="35"/>
      <c r="E347" s="35"/>
      <c r="F347" s="35"/>
      <c r="G347" s="35"/>
      <c r="H347" s="36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</row>
    <row r="348" ht="15.75" customHeight="1">
      <c r="A348" s="42"/>
      <c r="B348" s="35"/>
      <c r="C348" s="35"/>
      <c r="D348" s="35"/>
      <c r="E348" s="35"/>
      <c r="F348" s="35"/>
      <c r="G348" s="35"/>
      <c r="H348" s="36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</row>
    <row r="349" ht="15.75" customHeight="1">
      <c r="A349" s="42"/>
      <c r="B349" s="35"/>
      <c r="C349" s="35"/>
      <c r="D349" s="35"/>
      <c r="E349" s="35"/>
      <c r="F349" s="35"/>
      <c r="G349" s="35"/>
      <c r="H349" s="36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</row>
    <row r="350" ht="15.75" customHeight="1">
      <c r="A350" s="42"/>
      <c r="B350" s="35"/>
      <c r="C350" s="35"/>
      <c r="D350" s="35"/>
      <c r="E350" s="35"/>
      <c r="F350" s="35"/>
      <c r="G350" s="35"/>
      <c r="H350" s="36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</row>
    <row r="351" ht="15.75" customHeight="1">
      <c r="A351" s="42"/>
      <c r="B351" s="35"/>
      <c r="C351" s="35"/>
      <c r="D351" s="35"/>
      <c r="E351" s="35"/>
      <c r="F351" s="35"/>
      <c r="G351" s="35"/>
      <c r="H351" s="36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</row>
    <row r="352" ht="15.75" customHeight="1">
      <c r="A352" s="42"/>
      <c r="B352" s="35"/>
      <c r="C352" s="35"/>
      <c r="D352" s="35"/>
      <c r="E352" s="35"/>
      <c r="F352" s="35"/>
      <c r="G352" s="35"/>
      <c r="H352" s="36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</row>
    <row r="353" ht="15.75" customHeight="1">
      <c r="A353" s="42"/>
      <c r="B353" s="35"/>
      <c r="C353" s="35"/>
      <c r="D353" s="35"/>
      <c r="E353" s="35"/>
      <c r="F353" s="35"/>
      <c r="G353" s="35"/>
      <c r="H353" s="36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</row>
    <row r="354" ht="15.75" customHeight="1">
      <c r="A354" s="42"/>
      <c r="B354" s="35"/>
      <c r="C354" s="35"/>
      <c r="D354" s="35"/>
      <c r="E354" s="35"/>
      <c r="F354" s="35"/>
      <c r="G354" s="35"/>
      <c r="H354" s="36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</row>
    <row r="355" ht="15.75" customHeight="1">
      <c r="A355" s="42"/>
      <c r="B355" s="35"/>
      <c r="C355" s="35"/>
      <c r="D355" s="35"/>
      <c r="E355" s="35"/>
      <c r="F355" s="35"/>
      <c r="G355" s="35"/>
      <c r="H355" s="36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</row>
    <row r="356" ht="15.75" customHeight="1">
      <c r="A356" s="42"/>
      <c r="B356" s="35"/>
      <c r="C356" s="35"/>
      <c r="D356" s="35"/>
      <c r="E356" s="35"/>
      <c r="F356" s="35"/>
      <c r="G356" s="35"/>
      <c r="H356" s="36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</row>
    <row r="357" ht="15.75" customHeight="1">
      <c r="A357" s="42"/>
      <c r="B357" s="35"/>
      <c r="C357" s="35"/>
      <c r="D357" s="35"/>
      <c r="E357" s="35"/>
      <c r="F357" s="35"/>
      <c r="G357" s="35"/>
      <c r="H357" s="36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</row>
    <row r="358" ht="15.75" customHeight="1">
      <c r="A358" s="42"/>
      <c r="B358" s="35"/>
      <c r="C358" s="35"/>
      <c r="D358" s="35"/>
      <c r="E358" s="35"/>
      <c r="F358" s="35"/>
      <c r="G358" s="35"/>
      <c r="H358" s="36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</row>
    <row r="359" ht="15.75" customHeight="1">
      <c r="A359" s="42"/>
      <c r="B359" s="35"/>
      <c r="C359" s="35"/>
      <c r="D359" s="35"/>
      <c r="E359" s="35"/>
      <c r="F359" s="35"/>
      <c r="G359" s="35"/>
      <c r="H359" s="36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</row>
    <row r="360" ht="15.75" customHeight="1">
      <c r="A360" s="42"/>
      <c r="B360" s="35"/>
      <c r="C360" s="35"/>
      <c r="D360" s="35"/>
      <c r="E360" s="35"/>
      <c r="F360" s="35"/>
      <c r="G360" s="35"/>
      <c r="H360" s="36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</row>
    <row r="361" ht="15.75" customHeight="1">
      <c r="A361" s="42"/>
      <c r="B361" s="35"/>
      <c r="C361" s="35"/>
      <c r="D361" s="35"/>
      <c r="E361" s="35"/>
      <c r="F361" s="35"/>
      <c r="G361" s="35"/>
      <c r="H361" s="36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</row>
    <row r="362" ht="15.75" customHeight="1">
      <c r="A362" s="42"/>
      <c r="B362" s="35"/>
      <c r="C362" s="35"/>
      <c r="D362" s="35"/>
      <c r="E362" s="35"/>
      <c r="F362" s="35"/>
      <c r="G362" s="35"/>
      <c r="H362" s="36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</row>
    <row r="363" ht="15.75" customHeight="1">
      <c r="A363" s="42"/>
      <c r="B363" s="35"/>
      <c r="C363" s="35"/>
      <c r="D363" s="35"/>
      <c r="E363" s="35"/>
      <c r="F363" s="35"/>
      <c r="G363" s="35"/>
      <c r="H363" s="36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</row>
    <row r="364" ht="15.75" customHeight="1">
      <c r="A364" s="42"/>
      <c r="B364" s="35"/>
      <c r="C364" s="35"/>
      <c r="D364" s="35"/>
      <c r="E364" s="35"/>
      <c r="F364" s="35"/>
      <c r="G364" s="35"/>
      <c r="H364" s="36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</row>
    <row r="365" ht="15.75" customHeight="1">
      <c r="A365" s="42"/>
      <c r="B365" s="35"/>
      <c r="C365" s="35"/>
      <c r="D365" s="35"/>
      <c r="E365" s="35"/>
      <c r="F365" s="35"/>
      <c r="G365" s="35"/>
      <c r="H365" s="36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</row>
    <row r="366" ht="15.75" customHeight="1">
      <c r="A366" s="42"/>
      <c r="B366" s="35"/>
      <c r="C366" s="35"/>
      <c r="D366" s="35"/>
      <c r="E366" s="35"/>
      <c r="F366" s="35"/>
      <c r="G366" s="35"/>
      <c r="H366" s="36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</row>
    <row r="367" ht="15.75" customHeight="1">
      <c r="A367" s="42"/>
      <c r="B367" s="35"/>
      <c r="C367" s="35"/>
      <c r="D367" s="35"/>
      <c r="E367" s="35"/>
      <c r="F367" s="35"/>
      <c r="G367" s="35"/>
      <c r="H367" s="36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</row>
    <row r="368" ht="15.75" customHeight="1">
      <c r="A368" s="42"/>
      <c r="B368" s="35"/>
      <c r="C368" s="35"/>
      <c r="D368" s="35"/>
      <c r="E368" s="35"/>
      <c r="F368" s="35"/>
      <c r="G368" s="35"/>
      <c r="H368" s="36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</row>
    <row r="369" ht="15.75" customHeight="1">
      <c r="A369" s="42"/>
      <c r="B369" s="35"/>
      <c r="C369" s="35"/>
      <c r="D369" s="35"/>
      <c r="E369" s="35"/>
      <c r="F369" s="35"/>
      <c r="G369" s="35"/>
      <c r="H369" s="36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</row>
    <row r="370" ht="15.75" customHeight="1">
      <c r="A370" s="42"/>
      <c r="B370" s="35"/>
      <c r="C370" s="35"/>
      <c r="D370" s="35"/>
      <c r="E370" s="35"/>
      <c r="F370" s="35"/>
      <c r="G370" s="35"/>
      <c r="H370" s="36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</row>
    <row r="371" ht="15.75" customHeight="1">
      <c r="A371" s="42"/>
      <c r="B371" s="35"/>
      <c r="C371" s="35"/>
      <c r="D371" s="35"/>
      <c r="E371" s="35"/>
      <c r="F371" s="35"/>
      <c r="G371" s="35"/>
      <c r="H371" s="36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</row>
    <row r="372" ht="15.75" customHeight="1">
      <c r="A372" s="42"/>
      <c r="B372" s="35"/>
      <c r="C372" s="35"/>
      <c r="D372" s="35"/>
      <c r="E372" s="35"/>
      <c r="F372" s="35"/>
      <c r="G372" s="35"/>
      <c r="H372" s="36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</row>
    <row r="373" ht="15.75" customHeight="1">
      <c r="A373" s="42"/>
      <c r="B373" s="35"/>
      <c r="C373" s="35"/>
      <c r="D373" s="35"/>
      <c r="E373" s="35"/>
      <c r="F373" s="35"/>
      <c r="G373" s="35"/>
      <c r="H373" s="36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</row>
    <row r="374" ht="15.75" customHeight="1">
      <c r="A374" s="42"/>
      <c r="B374" s="35"/>
      <c r="C374" s="35"/>
      <c r="D374" s="35"/>
      <c r="E374" s="35"/>
      <c r="F374" s="35"/>
      <c r="G374" s="35"/>
      <c r="H374" s="36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</row>
    <row r="375" ht="15.75" customHeight="1">
      <c r="A375" s="42"/>
      <c r="B375" s="35"/>
      <c r="C375" s="35"/>
      <c r="D375" s="35"/>
      <c r="E375" s="35"/>
      <c r="F375" s="35"/>
      <c r="G375" s="35"/>
      <c r="H375" s="36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</row>
    <row r="376" ht="15.75" customHeight="1">
      <c r="A376" s="42"/>
      <c r="B376" s="35"/>
      <c r="C376" s="35"/>
      <c r="D376" s="35"/>
      <c r="E376" s="35"/>
      <c r="F376" s="35"/>
      <c r="G376" s="35"/>
      <c r="H376" s="36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</row>
    <row r="377" ht="15.75" customHeight="1">
      <c r="A377" s="42"/>
      <c r="B377" s="35"/>
      <c r="C377" s="35"/>
      <c r="D377" s="35"/>
      <c r="E377" s="35"/>
      <c r="F377" s="35"/>
      <c r="G377" s="35"/>
      <c r="H377" s="36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</row>
    <row r="378" ht="15.75" customHeight="1">
      <c r="A378" s="42"/>
      <c r="B378" s="35"/>
      <c r="C378" s="35"/>
      <c r="D378" s="35"/>
      <c r="E378" s="35"/>
      <c r="F378" s="35"/>
      <c r="G378" s="35"/>
      <c r="H378" s="36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</row>
    <row r="379" ht="15.75" customHeight="1">
      <c r="A379" s="42"/>
      <c r="B379" s="35"/>
      <c r="C379" s="35"/>
      <c r="D379" s="35"/>
      <c r="E379" s="35"/>
      <c r="F379" s="35"/>
      <c r="G379" s="35"/>
      <c r="H379" s="36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</row>
    <row r="380" ht="15.75" customHeight="1">
      <c r="A380" s="42"/>
      <c r="B380" s="35"/>
      <c r="C380" s="35"/>
      <c r="D380" s="35"/>
      <c r="E380" s="35"/>
      <c r="F380" s="35"/>
      <c r="G380" s="35"/>
      <c r="H380" s="36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</row>
    <row r="381" ht="15.75" customHeight="1">
      <c r="A381" s="42"/>
      <c r="B381" s="35"/>
      <c r="C381" s="35"/>
      <c r="D381" s="35"/>
      <c r="E381" s="35"/>
      <c r="F381" s="35"/>
      <c r="G381" s="35"/>
      <c r="H381" s="36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</row>
    <row r="382" ht="15.75" customHeight="1">
      <c r="A382" s="42"/>
      <c r="B382" s="35"/>
      <c r="C382" s="35"/>
      <c r="D382" s="35"/>
      <c r="E382" s="35"/>
      <c r="F382" s="35"/>
      <c r="G382" s="35"/>
      <c r="H382" s="36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</row>
    <row r="383" ht="15.75" customHeight="1">
      <c r="A383" s="42"/>
      <c r="B383" s="35"/>
      <c r="C383" s="35"/>
      <c r="D383" s="35"/>
      <c r="E383" s="35"/>
      <c r="F383" s="35"/>
      <c r="G383" s="35"/>
      <c r="H383" s="36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</row>
    <row r="384" ht="15.75" customHeight="1">
      <c r="A384" s="42"/>
      <c r="B384" s="35"/>
      <c r="C384" s="35"/>
      <c r="D384" s="35"/>
      <c r="E384" s="35"/>
      <c r="F384" s="35"/>
      <c r="G384" s="35"/>
      <c r="H384" s="36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</row>
    <row r="385" ht="15.75" customHeight="1">
      <c r="A385" s="42"/>
      <c r="B385" s="35"/>
      <c r="C385" s="35"/>
      <c r="D385" s="35"/>
      <c r="E385" s="35"/>
      <c r="F385" s="35"/>
      <c r="G385" s="35"/>
      <c r="H385" s="36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</row>
    <row r="386" ht="15.75" customHeight="1">
      <c r="A386" s="42"/>
      <c r="B386" s="35"/>
      <c r="C386" s="35"/>
      <c r="D386" s="35"/>
      <c r="E386" s="35"/>
      <c r="F386" s="35"/>
      <c r="G386" s="35"/>
      <c r="H386" s="36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</row>
    <row r="387" ht="15.75" customHeight="1">
      <c r="A387" s="42"/>
      <c r="B387" s="35"/>
      <c r="C387" s="35"/>
      <c r="D387" s="35"/>
      <c r="E387" s="35"/>
      <c r="F387" s="35"/>
      <c r="G387" s="35"/>
      <c r="H387" s="36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</row>
    <row r="388" ht="15.75" customHeight="1">
      <c r="A388" s="42"/>
      <c r="B388" s="35"/>
      <c r="C388" s="35"/>
      <c r="D388" s="35"/>
      <c r="E388" s="35"/>
      <c r="F388" s="35"/>
      <c r="G388" s="35"/>
      <c r="H388" s="36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</row>
    <row r="389" ht="15.75" customHeight="1">
      <c r="A389" s="42"/>
      <c r="B389" s="35"/>
      <c r="C389" s="35"/>
      <c r="D389" s="35"/>
      <c r="E389" s="35"/>
      <c r="F389" s="35"/>
      <c r="G389" s="35"/>
      <c r="H389" s="36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</row>
    <row r="390" ht="15.75" customHeight="1">
      <c r="A390" s="42"/>
      <c r="B390" s="35"/>
      <c r="C390" s="35"/>
      <c r="D390" s="35"/>
      <c r="E390" s="35"/>
      <c r="F390" s="35"/>
      <c r="G390" s="35"/>
      <c r="H390" s="36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</row>
    <row r="391" ht="15.75" customHeight="1">
      <c r="A391" s="42"/>
      <c r="B391" s="35"/>
      <c r="C391" s="35"/>
      <c r="D391" s="35"/>
      <c r="E391" s="35"/>
      <c r="F391" s="35"/>
      <c r="G391" s="35"/>
      <c r="H391" s="36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</row>
    <row r="392" ht="15.75" customHeight="1">
      <c r="A392" s="42"/>
      <c r="B392" s="35"/>
      <c r="C392" s="35"/>
      <c r="D392" s="35"/>
      <c r="E392" s="35"/>
      <c r="F392" s="35"/>
      <c r="G392" s="35"/>
      <c r="H392" s="36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</row>
    <row r="393" ht="15.75" customHeight="1">
      <c r="A393" s="42"/>
      <c r="B393" s="35"/>
      <c r="C393" s="35"/>
      <c r="D393" s="35"/>
      <c r="E393" s="35"/>
      <c r="F393" s="35"/>
      <c r="G393" s="35"/>
      <c r="H393" s="36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</row>
    <row r="394" ht="15.75" customHeight="1">
      <c r="A394" s="42"/>
      <c r="B394" s="35"/>
      <c r="C394" s="35"/>
      <c r="D394" s="35"/>
      <c r="E394" s="35"/>
      <c r="F394" s="35"/>
      <c r="G394" s="35"/>
      <c r="H394" s="36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</row>
    <row r="395" ht="15.75" customHeight="1">
      <c r="A395" s="42"/>
      <c r="B395" s="35"/>
      <c r="C395" s="35"/>
      <c r="D395" s="35"/>
      <c r="E395" s="35"/>
      <c r="F395" s="35"/>
      <c r="G395" s="35"/>
      <c r="H395" s="36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</row>
    <row r="396" ht="15.75" customHeight="1">
      <c r="A396" s="42"/>
      <c r="B396" s="35"/>
      <c r="C396" s="35"/>
      <c r="D396" s="35"/>
      <c r="E396" s="35"/>
      <c r="F396" s="35"/>
      <c r="G396" s="35"/>
      <c r="H396" s="36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</row>
    <row r="397" ht="15.75" customHeight="1">
      <c r="A397" s="42"/>
      <c r="B397" s="35"/>
      <c r="C397" s="35"/>
      <c r="D397" s="35"/>
      <c r="E397" s="35"/>
      <c r="F397" s="35"/>
      <c r="G397" s="35"/>
      <c r="H397" s="36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</row>
    <row r="398" ht="15.75" customHeight="1">
      <c r="A398" s="42"/>
      <c r="B398" s="35"/>
      <c r="C398" s="35"/>
      <c r="D398" s="35"/>
      <c r="E398" s="35"/>
      <c r="F398" s="35"/>
      <c r="G398" s="35"/>
      <c r="H398" s="36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ht="15.75" customHeight="1">
      <c r="A399" s="42"/>
      <c r="B399" s="35"/>
      <c r="C399" s="35"/>
      <c r="D399" s="35"/>
      <c r="E399" s="35"/>
      <c r="F399" s="35"/>
      <c r="G399" s="35"/>
      <c r="H399" s="36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ht="15.75" customHeight="1">
      <c r="A400" s="42"/>
      <c r="B400" s="35"/>
      <c r="C400" s="35"/>
      <c r="D400" s="35"/>
      <c r="E400" s="35"/>
      <c r="F400" s="35"/>
      <c r="G400" s="35"/>
      <c r="H400" s="36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ht="15.75" customHeight="1">
      <c r="A401" s="42"/>
      <c r="B401" s="35"/>
      <c r="C401" s="35"/>
      <c r="D401" s="35"/>
      <c r="E401" s="35"/>
      <c r="F401" s="35"/>
      <c r="G401" s="35"/>
      <c r="H401" s="36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ht="15.75" customHeight="1">
      <c r="A402" s="42"/>
      <c r="B402" s="35"/>
      <c r="C402" s="35"/>
      <c r="D402" s="35"/>
      <c r="E402" s="35"/>
      <c r="F402" s="35"/>
      <c r="G402" s="35"/>
      <c r="H402" s="36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</row>
    <row r="403" ht="15.75" customHeight="1">
      <c r="A403" s="42"/>
      <c r="B403" s="35"/>
      <c r="C403" s="35"/>
      <c r="D403" s="35"/>
      <c r="E403" s="35"/>
      <c r="F403" s="35"/>
      <c r="G403" s="35"/>
      <c r="H403" s="36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</row>
    <row r="404" ht="15.75" customHeight="1">
      <c r="A404" s="42"/>
      <c r="B404" s="35"/>
      <c r="C404" s="35"/>
      <c r="D404" s="35"/>
      <c r="E404" s="35"/>
      <c r="F404" s="35"/>
      <c r="G404" s="35"/>
      <c r="H404" s="36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</row>
    <row r="405" ht="15.75" customHeight="1">
      <c r="A405" s="42"/>
      <c r="B405" s="35"/>
      <c r="C405" s="35"/>
      <c r="D405" s="35"/>
      <c r="E405" s="35"/>
      <c r="F405" s="35"/>
      <c r="G405" s="35"/>
      <c r="H405" s="36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ht="15.75" customHeight="1">
      <c r="A406" s="42"/>
      <c r="B406" s="35"/>
      <c r="C406" s="35"/>
      <c r="D406" s="35"/>
      <c r="E406" s="35"/>
      <c r="F406" s="35"/>
      <c r="G406" s="35"/>
      <c r="H406" s="36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ht="15.75" customHeight="1">
      <c r="A407" s="42"/>
      <c r="B407" s="35"/>
      <c r="C407" s="35"/>
      <c r="D407" s="35"/>
      <c r="E407" s="35"/>
      <c r="F407" s="35"/>
      <c r="G407" s="35"/>
      <c r="H407" s="36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ht="15.75" customHeight="1">
      <c r="A408" s="42"/>
      <c r="B408" s="35"/>
      <c r="C408" s="35"/>
      <c r="D408" s="35"/>
      <c r="E408" s="35"/>
      <c r="F408" s="35"/>
      <c r="G408" s="35"/>
      <c r="H408" s="36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</row>
    <row r="409" ht="15.75" customHeight="1">
      <c r="A409" s="42"/>
      <c r="B409" s="35"/>
      <c r="C409" s="35"/>
      <c r="D409" s="35"/>
      <c r="E409" s="35"/>
      <c r="F409" s="35"/>
      <c r="G409" s="35"/>
      <c r="H409" s="36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</row>
    <row r="410" ht="15.75" customHeight="1">
      <c r="A410" s="42"/>
      <c r="B410" s="35"/>
      <c r="C410" s="35"/>
      <c r="D410" s="35"/>
      <c r="E410" s="35"/>
      <c r="F410" s="35"/>
      <c r="G410" s="35"/>
      <c r="H410" s="36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</row>
    <row r="411" ht="15.75" customHeight="1">
      <c r="A411" s="42"/>
      <c r="B411" s="35"/>
      <c r="C411" s="35"/>
      <c r="D411" s="35"/>
      <c r="E411" s="35"/>
      <c r="F411" s="35"/>
      <c r="G411" s="35"/>
      <c r="H411" s="36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</row>
    <row r="412" ht="15.75" customHeight="1">
      <c r="A412" s="42"/>
      <c r="B412" s="35"/>
      <c r="C412" s="35"/>
      <c r="D412" s="35"/>
      <c r="E412" s="35"/>
      <c r="F412" s="35"/>
      <c r="G412" s="35"/>
      <c r="H412" s="36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</row>
    <row r="413" ht="15.75" customHeight="1">
      <c r="A413" s="42"/>
      <c r="B413" s="35"/>
      <c r="C413" s="35"/>
      <c r="D413" s="35"/>
      <c r="E413" s="35"/>
      <c r="F413" s="35"/>
      <c r="G413" s="35"/>
      <c r="H413" s="36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</row>
    <row r="414" ht="15.75" customHeight="1">
      <c r="A414" s="42"/>
      <c r="B414" s="35"/>
      <c r="C414" s="35"/>
      <c r="D414" s="35"/>
      <c r="E414" s="35"/>
      <c r="F414" s="35"/>
      <c r="G414" s="35"/>
      <c r="H414" s="36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</row>
    <row r="415" ht="15.75" customHeight="1">
      <c r="A415" s="42"/>
      <c r="B415" s="35"/>
      <c r="C415" s="35"/>
      <c r="D415" s="35"/>
      <c r="E415" s="35"/>
      <c r="F415" s="35"/>
      <c r="G415" s="35"/>
      <c r="H415" s="36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</row>
    <row r="416" ht="15.75" customHeight="1">
      <c r="A416" s="42"/>
      <c r="B416" s="35"/>
      <c r="C416" s="35"/>
      <c r="D416" s="35"/>
      <c r="E416" s="35"/>
      <c r="F416" s="35"/>
      <c r="G416" s="35"/>
      <c r="H416" s="36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</row>
    <row r="417" ht="15.75" customHeight="1">
      <c r="A417" s="42"/>
      <c r="B417" s="35"/>
      <c r="C417" s="35"/>
      <c r="D417" s="35"/>
      <c r="E417" s="35"/>
      <c r="F417" s="35"/>
      <c r="G417" s="35"/>
      <c r="H417" s="36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</row>
    <row r="418" ht="15.75" customHeight="1">
      <c r="A418" s="42"/>
      <c r="B418" s="35"/>
      <c r="C418" s="35"/>
      <c r="D418" s="35"/>
      <c r="E418" s="35"/>
      <c r="F418" s="35"/>
      <c r="G418" s="35"/>
      <c r="H418" s="36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</row>
    <row r="419" ht="15.75" customHeight="1">
      <c r="A419" s="42"/>
      <c r="B419" s="35"/>
      <c r="C419" s="35"/>
      <c r="D419" s="35"/>
      <c r="E419" s="35"/>
      <c r="F419" s="35"/>
      <c r="G419" s="35"/>
      <c r="H419" s="36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</row>
    <row r="420" ht="15.75" customHeight="1">
      <c r="A420" s="42"/>
      <c r="B420" s="35"/>
      <c r="C420" s="35"/>
      <c r="D420" s="35"/>
      <c r="E420" s="35"/>
      <c r="F420" s="35"/>
      <c r="G420" s="35"/>
      <c r="H420" s="36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</row>
    <row r="421" ht="15.75" customHeight="1">
      <c r="A421" s="42"/>
      <c r="B421" s="35"/>
      <c r="C421" s="35"/>
      <c r="D421" s="35"/>
      <c r="E421" s="35"/>
      <c r="F421" s="35"/>
      <c r="G421" s="35"/>
      <c r="H421" s="36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</row>
    <row r="422" ht="15.75" customHeight="1">
      <c r="A422" s="42"/>
      <c r="B422" s="35"/>
      <c r="C422" s="35"/>
      <c r="D422" s="35"/>
      <c r="E422" s="35"/>
      <c r="F422" s="35"/>
      <c r="G422" s="35"/>
      <c r="H422" s="36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</row>
    <row r="423" ht="15.75" customHeight="1">
      <c r="A423" s="42"/>
      <c r="B423" s="35"/>
      <c r="C423" s="35"/>
      <c r="D423" s="35"/>
      <c r="E423" s="35"/>
      <c r="F423" s="35"/>
      <c r="G423" s="35"/>
      <c r="H423" s="36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</row>
    <row r="424" ht="15.75" customHeight="1">
      <c r="A424" s="42"/>
      <c r="B424" s="35"/>
      <c r="C424" s="35"/>
      <c r="D424" s="35"/>
      <c r="E424" s="35"/>
      <c r="F424" s="35"/>
      <c r="G424" s="35"/>
      <c r="H424" s="36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</row>
    <row r="425" ht="15.75" customHeight="1">
      <c r="A425" s="42"/>
      <c r="B425" s="35"/>
      <c r="C425" s="35"/>
      <c r="D425" s="35"/>
      <c r="E425" s="35"/>
      <c r="F425" s="35"/>
      <c r="G425" s="35"/>
      <c r="H425" s="36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</row>
    <row r="426" ht="15.75" customHeight="1">
      <c r="A426" s="42"/>
      <c r="B426" s="35"/>
      <c r="C426" s="35"/>
      <c r="D426" s="35"/>
      <c r="E426" s="35"/>
      <c r="F426" s="35"/>
      <c r="G426" s="35"/>
      <c r="H426" s="36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</row>
    <row r="427" ht="15.75" customHeight="1">
      <c r="A427" s="42"/>
      <c r="B427" s="35"/>
      <c r="C427" s="35"/>
      <c r="D427" s="35"/>
      <c r="E427" s="35"/>
      <c r="F427" s="35"/>
      <c r="G427" s="35"/>
      <c r="H427" s="36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</row>
    <row r="428" ht="15.75" customHeight="1">
      <c r="A428" s="42"/>
      <c r="B428" s="35"/>
      <c r="C428" s="35"/>
      <c r="D428" s="35"/>
      <c r="E428" s="35"/>
      <c r="F428" s="35"/>
      <c r="G428" s="35"/>
      <c r="H428" s="36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</row>
    <row r="429" ht="15.75" customHeight="1">
      <c r="A429" s="42"/>
      <c r="B429" s="35"/>
      <c r="C429" s="35"/>
      <c r="D429" s="35"/>
      <c r="E429" s="35"/>
      <c r="F429" s="35"/>
      <c r="G429" s="35"/>
      <c r="H429" s="36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</row>
    <row r="430" ht="15.75" customHeight="1">
      <c r="A430" s="42"/>
      <c r="B430" s="35"/>
      <c r="C430" s="35"/>
      <c r="D430" s="35"/>
      <c r="E430" s="35"/>
      <c r="F430" s="35"/>
      <c r="G430" s="35"/>
      <c r="H430" s="36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</row>
    <row r="431" ht="15.75" customHeight="1">
      <c r="A431" s="42"/>
      <c r="B431" s="35"/>
      <c r="C431" s="35"/>
      <c r="D431" s="35"/>
      <c r="E431" s="35"/>
      <c r="F431" s="35"/>
      <c r="G431" s="35"/>
      <c r="H431" s="36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</row>
    <row r="432" ht="15.75" customHeight="1">
      <c r="A432" s="42"/>
      <c r="B432" s="35"/>
      <c r="C432" s="35"/>
      <c r="D432" s="35"/>
      <c r="E432" s="35"/>
      <c r="F432" s="35"/>
      <c r="G432" s="35"/>
      <c r="H432" s="36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</row>
    <row r="433" ht="15.75" customHeight="1">
      <c r="A433" s="42"/>
      <c r="B433" s="35"/>
      <c r="C433" s="35"/>
      <c r="D433" s="35"/>
      <c r="E433" s="35"/>
      <c r="F433" s="35"/>
      <c r="G433" s="35"/>
      <c r="H433" s="36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</row>
    <row r="434" ht="15.75" customHeight="1">
      <c r="A434" s="42"/>
      <c r="B434" s="35"/>
      <c r="C434" s="35"/>
      <c r="D434" s="35"/>
      <c r="E434" s="35"/>
      <c r="F434" s="35"/>
      <c r="G434" s="35"/>
      <c r="H434" s="36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</row>
    <row r="435" ht="15.75" customHeight="1">
      <c r="A435" s="42"/>
      <c r="B435" s="35"/>
      <c r="C435" s="35"/>
      <c r="D435" s="35"/>
      <c r="E435" s="35"/>
      <c r="F435" s="35"/>
      <c r="G435" s="35"/>
      <c r="H435" s="36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</row>
    <row r="436" ht="15.75" customHeight="1">
      <c r="A436" s="42"/>
      <c r="B436" s="35"/>
      <c r="C436" s="35"/>
      <c r="D436" s="35"/>
      <c r="E436" s="35"/>
      <c r="F436" s="35"/>
      <c r="G436" s="35"/>
      <c r="H436" s="36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</row>
    <row r="437" ht="15.75" customHeight="1">
      <c r="A437" s="42"/>
      <c r="B437" s="35"/>
      <c r="C437" s="35"/>
      <c r="D437" s="35"/>
      <c r="E437" s="35"/>
      <c r="F437" s="35"/>
      <c r="G437" s="35"/>
      <c r="H437" s="36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</row>
    <row r="438" ht="15.75" customHeight="1">
      <c r="A438" s="42"/>
      <c r="B438" s="35"/>
      <c r="C438" s="35"/>
      <c r="D438" s="35"/>
      <c r="E438" s="35"/>
      <c r="F438" s="35"/>
      <c r="G438" s="35"/>
      <c r="H438" s="36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</row>
    <row r="439" ht="15.75" customHeight="1">
      <c r="A439" s="42"/>
      <c r="B439" s="35"/>
      <c r="C439" s="35"/>
      <c r="D439" s="35"/>
      <c r="E439" s="35"/>
      <c r="F439" s="35"/>
      <c r="G439" s="35"/>
      <c r="H439" s="36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</row>
    <row r="440" ht="15.75" customHeight="1">
      <c r="A440" s="42"/>
      <c r="B440" s="35"/>
      <c r="C440" s="35"/>
      <c r="D440" s="35"/>
      <c r="E440" s="35"/>
      <c r="F440" s="35"/>
      <c r="G440" s="35"/>
      <c r="H440" s="36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</row>
    <row r="441" ht="15.75" customHeight="1">
      <c r="A441" s="42"/>
      <c r="B441" s="35"/>
      <c r="C441" s="35"/>
      <c r="D441" s="35"/>
      <c r="E441" s="35"/>
      <c r="F441" s="35"/>
      <c r="G441" s="35"/>
      <c r="H441" s="36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</row>
    <row r="442" ht="15.75" customHeight="1">
      <c r="A442" s="42"/>
      <c r="B442" s="35"/>
      <c r="C442" s="35"/>
      <c r="D442" s="35"/>
      <c r="E442" s="35"/>
      <c r="F442" s="35"/>
      <c r="G442" s="35"/>
      <c r="H442" s="36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</row>
    <row r="443" ht="15.75" customHeight="1">
      <c r="A443" s="42"/>
      <c r="B443" s="35"/>
      <c r="C443" s="35"/>
      <c r="D443" s="35"/>
      <c r="E443" s="35"/>
      <c r="F443" s="35"/>
      <c r="G443" s="35"/>
      <c r="H443" s="36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</row>
    <row r="444" ht="15.75" customHeight="1">
      <c r="A444" s="42"/>
      <c r="B444" s="35"/>
      <c r="C444" s="35"/>
      <c r="D444" s="35"/>
      <c r="E444" s="35"/>
      <c r="F444" s="35"/>
      <c r="G444" s="35"/>
      <c r="H444" s="36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</row>
    <row r="445" ht="15.75" customHeight="1">
      <c r="A445" s="42"/>
      <c r="B445" s="35"/>
      <c r="C445" s="35"/>
      <c r="D445" s="35"/>
      <c r="E445" s="35"/>
      <c r="F445" s="35"/>
      <c r="G445" s="35"/>
      <c r="H445" s="36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</row>
    <row r="446" ht="15.75" customHeight="1">
      <c r="A446" s="42"/>
      <c r="B446" s="35"/>
      <c r="C446" s="35"/>
      <c r="D446" s="35"/>
      <c r="E446" s="35"/>
      <c r="F446" s="35"/>
      <c r="G446" s="35"/>
      <c r="H446" s="36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</row>
    <row r="447" ht="15.75" customHeight="1">
      <c r="A447" s="42"/>
      <c r="B447" s="35"/>
      <c r="C447" s="35"/>
      <c r="D447" s="35"/>
      <c r="E447" s="35"/>
      <c r="F447" s="35"/>
      <c r="G447" s="35"/>
      <c r="H447" s="36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</row>
    <row r="448" ht="15.75" customHeight="1">
      <c r="A448" s="42"/>
      <c r="B448" s="35"/>
      <c r="C448" s="35"/>
      <c r="D448" s="35"/>
      <c r="E448" s="35"/>
      <c r="F448" s="35"/>
      <c r="G448" s="35"/>
      <c r="H448" s="36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</row>
    <row r="449" ht="15.75" customHeight="1">
      <c r="A449" s="42"/>
      <c r="B449" s="35"/>
      <c r="C449" s="35"/>
      <c r="D449" s="35"/>
      <c r="E449" s="35"/>
      <c r="F449" s="35"/>
      <c r="G449" s="35"/>
      <c r="H449" s="36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</row>
    <row r="450" ht="15.75" customHeight="1">
      <c r="A450" s="42"/>
      <c r="B450" s="35"/>
      <c r="C450" s="35"/>
      <c r="D450" s="35"/>
      <c r="E450" s="35"/>
      <c r="F450" s="35"/>
      <c r="G450" s="35"/>
      <c r="H450" s="36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</row>
    <row r="451" ht="15.75" customHeight="1">
      <c r="A451" s="42"/>
      <c r="B451" s="35"/>
      <c r="C451" s="35"/>
      <c r="D451" s="35"/>
      <c r="E451" s="35"/>
      <c r="F451" s="35"/>
      <c r="G451" s="35"/>
      <c r="H451" s="36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</row>
    <row r="452" ht="15.75" customHeight="1">
      <c r="A452" s="42"/>
      <c r="B452" s="35"/>
      <c r="C452" s="35"/>
      <c r="D452" s="35"/>
      <c r="E452" s="35"/>
      <c r="F452" s="35"/>
      <c r="G452" s="35"/>
      <c r="H452" s="36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</row>
    <row r="453" ht="15.75" customHeight="1">
      <c r="A453" s="42"/>
      <c r="B453" s="35"/>
      <c r="C453" s="35"/>
      <c r="D453" s="35"/>
      <c r="E453" s="35"/>
      <c r="F453" s="35"/>
      <c r="G453" s="35"/>
      <c r="H453" s="36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</row>
    <row r="454" ht="15.75" customHeight="1">
      <c r="A454" s="42"/>
      <c r="B454" s="35"/>
      <c r="C454" s="35"/>
      <c r="D454" s="35"/>
      <c r="E454" s="35"/>
      <c r="F454" s="35"/>
      <c r="G454" s="35"/>
      <c r="H454" s="36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</row>
    <row r="455" ht="15.75" customHeight="1">
      <c r="A455" s="42"/>
      <c r="B455" s="35"/>
      <c r="C455" s="35"/>
      <c r="D455" s="35"/>
      <c r="E455" s="35"/>
      <c r="F455" s="35"/>
      <c r="G455" s="35"/>
      <c r="H455" s="36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</row>
    <row r="456" ht="15.75" customHeight="1">
      <c r="A456" s="42"/>
      <c r="B456" s="35"/>
      <c r="C456" s="35"/>
      <c r="D456" s="35"/>
      <c r="E456" s="35"/>
      <c r="F456" s="35"/>
      <c r="G456" s="35"/>
      <c r="H456" s="36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</row>
    <row r="457" ht="15.75" customHeight="1">
      <c r="A457" s="42"/>
      <c r="B457" s="35"/>
      <c r="C457" s="35"/>
      <c r="D457" s="35"/>
      <c r="E457" s="35"/>
      <c r="F457" s="35"/>
      <c r="G457" s="35"/>
      <c r="H457" s="36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</row>
    <row r="458" ht="15.75" customHeight="1">
      <c r="A458" s="42"/>
      <c r="B458" s="35"/>
      <c r="C458" s="35"/>
      <c r="D458" s="35"/>
      <c r="E458" s="35"/>
      <c r="F458" s="35"/>
      <c r="G458" s="35"/>
      <c r="H458" s="36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</row>
    <row r="459" ht="15.75" customHeight="1">
      <c r="A459" s="42"/>
      <c r="B459" s="35"/>
      <c r="C459" s="35"/>
      <c r="D459" s="35"/>
      <c r="E459" s="35"/>
      <c r="F459" s="35"/>
      <c r="G459" s="35"/>
      <c r="H459" s="36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</row>
    <row r="460" ht="15.75" customHeight="1">
      <c r="A460" s="42"/>
      <c r="B460" s="35"/>
      <c r="C460" s="35"/>
      <c r="D460" s="35"/>
      <c r="E460" s="35"/>
      <c r="F460" s="35"/>
      <c r="G460" s="35"/>
      <c r="H460" s="36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</row>
    <row r="461" ht="15.75" customHeight="1">
      <c r="A461" s="42"/>
      <c r="B461" s="35"/>
      <c r="C461" s="35"/>
      <c r="D461" s="35"/>
      <c r="E461" s="35"/>
      <c r="F461" s="35"/>
      <c r="G461" s="35"/>
      <c r="H461" s="36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</row>
    <row r="462" ht="15.75" customHeight="1">
      <c r="A462" s="42"/>
      <c r="B462" s="35"/>
      <c r="C462" s="35"/>
      <c r="D462" s="35"/>
      <c r="E462" s="35"/>
      <c r="F462" s="35"/>
      <c r="G462" s="35"/>
      <c r="H462" s="36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</row>
    <row r="463" ht="15.75" customHeight="1">
      <c r="A463" s="42"/>
      <c r="B463" s="35"/>
      <c r="C463" s="35"/>
      <c r="D463" s="35"/>
      <c r="E463" s="35"/>
      <c r="F463" s="35"/>
      <c r="G463" s="35"/>
      <c r="H463" s="36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</row>
    <row r="464" ht="15.75" customHeight="1">
      <c r="A464" s="42"/>
      <c r="B464" s="35"/>
      <c r="C464" s="35"/>
      <c r="D464" s="35"/>
      <c r="E464" s="35"/>
      <c r="F464" s="35"/>
      <c r="G464" s="35"/>
      <c r="H464" s="36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</row>
    <row r="465" ht="15.75" customHeight="1">
      <c r="A465" s="42"/>
      <c r="B465" s="35"/>
      <c r="C465" s="35"/>
      <c r="D465" s="35"/>
      <c r="E465" s="35"/>
      <c r="F465" s="35"/>
      <c r="G465" s="35"/>
      <c r="H465" s="36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</row>
    <row r="466" ht="15.75" customHeight="1">
      <c r="A466" s="42"/>
      <c r="B466" s="35"/>
      <c r="C466" s="35"/>
      <c r="D466" s="35"/>
      <c r="E466" s="35"/>
      <c r="F466" s="35"/>
      <c r="G466" s="35"/>
      <c r="H466" s="36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</row>
    <row r="467" ht="15.75" customHeight="1">
      <c r="A467" s="42"/>
      <c r="B467" s="35"/>
      <c r="C467" s="35"/>
      <c r="D467" s="35"/>
      <c r="E467" s="35"/>
      <c r="F467" s="35"/>
      <c r="G467" s="35"/>
      <c r="H467" s="36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</row>
    <row r="468" ht="15.75" customHeight="1">
      <c r="A468" s="42"/>
      <c r="B468" s="35"/>
      <c r="C468" s="35"/>
      <c r="D468" s="35"/>
      <c r="E468" s="35"/>
      <c r="F468" s="35"/>
      <c r="G468" s="35"/>
      <c r="H468" s="36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</row>
    <row r="469" ht="15.75" customHeight="1">
      <c r="A469" s="42"/>
      <c r="B469" s="35"/>
      <c r="C469" s="35"/>
      <c r="D469" s="35"/>
      <c r="E469" s="35"/>
      <c r="F469" s="35"/>
      <c r="G469" s="35"/>
      <c r="H469" s="36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</row>
    <row r="470" ht="15.75" customHeight="1">
      <c r="A470" s="42"/>
      <c r="B470" s="35"/>
      <c r="C470" s="35"/>
      <c r="D470" s="35"/>
      <c r="E470" s="35"/>
      <c r="F470" s="35"/>
      <c r="G470" s="35"/>
      <c r="H470" s="36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</row>
    <row r="471" ht="15.75" customHeight="1">
      <c r="A471" s="42"/>
      <c r="B471" s="35"/>
      <c r="C471" s="35"/>
      <c r="D471" s="35"/>
      <c r="E471" s="35"/>
      <c r="F471" s="35"/>
      <c r="G471" s="35"/>
      <c r="H471" s="36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</row>
    <row r="472" ht="15.75" customHeight="1">
      <c r="A472" s="42"/>
      <c r="B472" s="35"/>
      <c r="C472" s="35"/>
      <c r="D472" s="35"/>
      <c r="E472" s="35"/>
      <c r="F472" s="35"/>
      <c r="G472" s="35"/>
      <c r="H472" s="36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</row>
    <row r="473" ht="15.75" customHeight="1">
      <c r="A473" s="42"/>
      <c r="B473" s="35"/>
      <c r="C473" s="35"/>
      <c r="D473" s="35"/>
      <c r="E473" s="35"/>
      <c r="F473" s="35"/>
      <c r="G473" s="35"/>
      <c r="H473" s="36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</row>
    <row r="474" ht="15.75" customHeight="1">
      <c r="A474" s="42"/>
      <c r="B474" s="35"/>
      <c r="C474" s="35"/>
      <c r="D474" s="35"/>
      <c r="E474" s="35"/>
      <c r="F474" s="35"/>
      <c r="G474" s="35"/>
      <c r="H474" s="36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</row>
    <row r="475" ht="15.75" customHeight="1">
      <c r="A475" s="42"/>
      <c r="B475" s="35"/>
      <c r="C475" s="35"/>
      <c r="D475" s="35"/>
      <c r="E475" s="35"/>
      <c r="F475" s="35"/>
      <c r="G475" s="35"/>
      <c r="H475" s="36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</row>
    <row r="476" ht="15.75" customHeight="1">
      <c r="A476" s="42"/>
      <c r="B476" s="35"/>
      <c r="C476" s="35"/>
      <c r="D476" s="35"/>
      <c r="E476" s="35"/>
      <c r="F476" s="35"/>
      <c r="G476" s="35"/>
      <c r="H476" s="36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</row>
    <row r="477" ht="15.75" customHeight="1">
      <c r="A477" s="42"/>
      <c r="B477" s="35"/>
      <c r="C477" s="35"/>
      <c r="D477" s="35"/>
      <c r="E477" s="35"/>
      <c r="F477" s="35"/>
      <c r="G477" s="35"/>
      <c r="H477" s="36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</row>
    <row r="478" ht="15.75" customHeight="1">
      <c r="A478" s="42"/>
      <c r="B478" s="35"/>
      <c r="C478" s="35"/>
      <c r="D478" s="35"/>
      <c r="E478" s="35"/>
      <c r="F478" s="35"/>
      <c r="G478" s="35"/>
      <c r="H478" s="36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</row>
    <row r="479" ht="15.75" customHeight="1">
      <c r="A479" s="42"/>
      <c r="B479" s="35"/>
      <c r="C479" s="35"/>
      <c r="D479" s="35"/>
      <c r="E479" s="35"/>
      <c r="F479" s="35"/>
      <c r="G479" s="35"/>
      <c r="H479" s="36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</row>
    <row r="480" ht="15.75" customHeight="1">
      <c r="A480" s="42"/>
      <c r="B480" s="35"/>
      <c r="C480" s="35"/>
      <c r="D480" s="35"/>
      <c r="E480" s="35"/>
      <c r="F480" s="35"/>
      <c r="G480" s="35"/>
      <c r="H480" s="36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</row>
    <row r="481" ht="15.75" customHeight="1">
      <c r="A481" s="42"/>
      <c r="B481" s="35"/>
      <c r="C481" s="35"/>
      <c r="D481" s="35"/>
      <c r="E481" s="35"/>
      <c r="F481" s="35"/>
      <c r="G481" s="35"/>
      <c r="H481" s="36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</row>
    <row r="482" ht="15.75" customHeight="1">
      <c r="A482" s="42"/>
      <c r="B482" s="35"/>
      <c r="C482" s="35"/>
      <c r="D482" s="35"/>
      <c r="E482" s="35"/>
      <c r="F482" s="35"/>
      <c r="G482" s="35"/>
      <c r="H482" s="36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</row>
    <row r="483" ht="15.75" customHeight="1">
      <c r="A483" s="42"/>
      <c r="B483" s="35"/>
      <c r="C483" s="35"/>
      <c r="D483" s="35"/>
      <c r="E483" s="35"/>
      <c r="F483" s="35"/>
      <c r="G483" s="35"/>
      <c r="H483" s="36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</row>
    <row r="484" ht="15.75" customHeight="1">
      <c r="A484" s="42"/>
      <c r="B484" s="35"/>
      <c r="C484" s="35"/>
      <c r="D484" s="35"/>
      <c r="E484" s="35"/>
      <c r="F484" s="35"/>
      <c r="G484" s="35"/>
      <c r="H484" s="36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</row>
    <row r="485" ht="15.75" customHeight="1">
      <c r="A485" s="42"/>
      <c r="B485" s="35"/>
      <c r="C485" s="35"/>
      <c r="D485" s="35"/>
      <c r="E485" s="35"/>
      <c r="F485" s="35"/>
      <c r="G485" s="35"/>
      <c r="H485" s="36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</row>
    <row r="486" ht="15.75" customHeight="1">
      <c r="A486" s="42"/>
      <c r="B486" s="35"/>
      <c r="C486" s="35"/>
      <c r="D486" s="35"/>
      <c r="E486" s="35"/>
      <c r="F486" s="35"/>
      <c r="G486" s="35"/>
      <c r="H486" s="36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</row>
    <row r="487" ht="15.75" customHeight="1">
      <c r="A487" s="42"/>
      <c r="B487" s="35"/>
      <c r="C487" s="35"/>
      <c r="D487" s="35"/>
      <c r="E487" s="35"/>
      <c r="F487" s="35"/>
      <c r="G487" s="35"/>
      <c r="H487" s="36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</row>
    <row r="488" ht="15.75" customHeight="1">
      <c r="A488" s="42"/>
      <c r="B488" s="35"/>
      <c r="C488" s="35"/>
      <c r="D488" s="35"/>
      <c r="E488" s="35"/>
      <c r="F488" s="35"/>
      <c r="G488" s="35"/>
      <c r="H488" s="36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</row>
    <row r="489" ht="15.75" customHeight="1">
      <c r="A489" s="42"/>
      <c r="B489" s="35"/>
      <c r="C489" s="35"/>
      <c r="D489" s="35"/>
      <c r="E489" s="35"/>
      <c r="F489" s="35"/>
      <c r="G489" s="35"/>
      <c r="H489" s="36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</row>
    <row r="490" ht="15.75" customHeight="1">
      <c r="A490" s="42"/>
      <c r="B490" s="35"/>
      <c r="C490" s="35"/>
      <c r="D490" s="35"/>
      <c r="E490" s="35"/>
      <c r="F490" s="35"/>
      <c r="G490" s="35"/>
      <c r="H490" s="36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</row>
    <row r="491" ht="15.75" customHeight="1">
      <c r="A491" s="42"/>
      <c r="B491" s="35"/>
      <c r="C491" s="35"/>
      <c r="D491" s="35"/>
      <c r="E491" s="35"/>
      <c r="F491" s="35"/>
      <c r="G491" s="35"/>
      <c r="H491" s="36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</row>
    <row r="492" ht="15.75" customHeight="1">
      <c r="A492" s="42"/>
      <c r="B492" s="35"/>
      <c r="C492" s="35"/>
      <c r="D492" s="35"/>
      <c r="E492" s="35"/>
      <c r="F492" s="35"/>
      <c r="G492" s="35"/>
      <c r="H492" s="36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</row>
    <row r="493" ht="15.75" customHeight="1">
      <c r="A493" s="42"/>
      <c r="B493" s="35"/>
      <c r="C493" s="35"/>
      <c r="D493" s="35"/>
      <c r="E493" s="35"/>
      <c r="F493" s="35"/>
      <c r="G493" s="35"/>
      <c r="H493" s="36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</row>
    <row r="494" ht="15.75" customHeight="1">
      <c r="A494" s="42"/>
      <c r="B494" s="35"/>
      <c r="C494" s="35"/>
      <c r="D494" s="35"/>
      <c r="E494" s="35"/>
      <c r="F494" s="35"/>
      <c r="G494" s="35"/>
      <c r="H494" s="36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</row>
    <row r="495" ht="15.75" customHeight="1">
      <c r="A495" s="42"/>
      <c r="B495" s="35"/>
      <c r="C495" s="35"/>
      <c r="D495" s="35"/>
      <c r="E495" s="35"/>
      <c r="F495" s="35"/>
      <c r="G495" s="35"/>
      <c r="H495" s="36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</row>
    <row r="496" ht="15.75" customHeight="1">
      <c r="A496" s="42"/>
      <c r="B496" s="35"/>
      <c r="C496" s="35"/>
      <c r="D496" s="35"/>
      <c r="E496" s="35"/>
      <c r="F496" s="35"/>
      <c r="G496" s="35"/>
      <c r="H496" s="36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</row>
    <row r="497" ht="15.75" customHeight="1">
      <c r="A497" s="42"/>
      <c r="B497" s="35"/>
      <c r="C497" s="35"/>
      <c r="D497" s="35"/>
      <c r="E497" s="35"/>
      <c r="F497" s="35"/>
      <c r="G497" s="35"/>
      <c r="H497" s="36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</row>
    <row r="498" ht="15.75" customHeight="1">
      <c r="A498" s="42"/>
      <c r="B498" s="35"/>
      <c r="C498" s="35"/>
      <c r="D498" s="35"/>
      <c r="E498" s="35"/>
      <c r="F498" s="35"/>
      <c r="G498" s="35"/>
      <c r="H498" s="36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</row>
    <row r="499" ht="15.75" customHeight="1">
      <c r="A499" s="42"/>
      <c r="B499" s="35"/>
      <c r="C499" s="35"/>
      <c r="D499" s="35"/>
      <c r="E499" s="35"/>
      <c r="F499" s="35"/>
      <c r="G499" s="35"/>
      <c r="H499" s="36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</row>
    <row r="500" ht="15.75" customHeight="1">
      <c r="A500" s="42"/>
      <c r="B500" s="35"/>
      <c r="C500" s="35"/>
      <c r="D500" s="35"/>
      <c r="E500" s="35"/>
      <c r="F500" s="35"/>
      <c r="G500" s="35"/>
      <c r="H500" s="36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</row>
    <row r="501" ht="15.75" customHeight="1">
      <c r="A501" s="42"/>
      <c r="B501" s="35"/>
      <c r="C501" s="35"/>
      <c r="D501" s="35"/>
      <c r="E501" s="35"/>
      <c r="F501" s="35"/>
      <c r="G501" s="35"/>
      <c r="H501" s="36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</row>
    <row r="502" ht="15.75" customHeight="1">
      <c r="A502" s="42"/>
      <c r="B502" s="35"/>
      <c r="C502" s="35"/>
      <c r="D502" s="35"/>
      <c r="E502" s="35"/>
      <c r="F502" s="35"/>
      <c r="G502" s="35"/>
      <c r="H502" s="36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</row>
    <row r="503" ht="15.75" customHeight="1">
      <c r="A503" s="42"/>
      <c r="B503" s="35"/>
      <c r="C503" s="35"/>
      <c r="D503" s="35"/>
      <c r="E503" s="35"/>
      <c r="F503" s="35"/>
      <c r="G503" s="35"/>
      <c r="H503" s="36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</row>
    <row r="504" ht="15.75" customHeight="1">
      <c r="A504" s="42"/>
      <c r="B504" s="35"/>
      <c r="C504" s="35"/>
      <c r="D504" s="35"/>
      <c r="E504" s="35"/>
      <c r="F504" s="35"/>
      <c r="G504" s="35"/>
      <c r="H504" s="36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</row>
    <row r="505" ht="15.75" customHeight="1">
      <c r="A505" s="42"/>
      <c r="B505" s="35"/>
      <c r="C505" s="35"/>
      <c r="D505" s="35"/>
      <c r="E505" s="35"/>
      <c r="F505" s="35"/>
      <c r="G505" s="35"/>
      <c r="H505" s="36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</row>
    <row r="506" ht="15.75" customHeight="1">
      <c r="A506" s="42"/>
      <c r="B506" s="35"/>
      <c r="C506" s="35"/>
      <c r="D506" s="35"/>
      <c r="E506" s="35"/>
      <c r="F506" s="35"/>
      <c r="G506" s="35"/>
      <c r="H506" s="36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</row>
    <row r="507" ht="15.75" customHeight="1">
      <c r="A507" s="42"/>
      <c r="B507" s="35"/>
      <c r="C507" s="35"/>
      <c r="D507" s="35"/>
      <c r="E507" s="35"/>
      <c r="F507" s="35"/>
      <c r="G507" s="35"/>
      <c r="H507" s="36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</row>
    <row r="508" ht="15.75" customHeight="1">
      <c r="A508" s="42"/>
      <c r="B508" s="35"/>
      <c r="C508" s="35"/>
      <c r="D508" s="35"/>
      <c r="E508" s="35"/>
      <c r="F508" s="35"/>
      <c r="G508" s="35"/>
      <c r="H508" s="36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</row>
    <row r="509" ht="15.75" customHeight="1">
      <c r="A509" s="42"/>
      <c r="B509" s="35"/>
      <c r="C509" s="35"/>
      <c r="D509" s="35"/>
      <c r="E509" s="35"/>
      <c r="F509" s="35"/>
      <c r="G509" s="35"/>
      <c r="H509" s="36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</row>
    <row r="510" ht="15.75" customHeight="1">
      <c r="A510" s="42"/>
      <c r="B510" s="35"/>
      <c r="C510" s="35"/>
      <c r="D510" s="35"/>
      <c r="E510" s="35"/>
      <c r="F510" s="35"/>
      <c r="G510" s="35"/>
      <c r="H510" s="36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</row>
    <row r="511" ht="15.75" customHeight="1">
      <c r="A511" s="42"/>
      <c r="B511" s="35"/>
      <c r="C511" s="35"/>
      <c r="D511" s="35"/>
      <c r="E511" s="35"/>
      <c r="F511" s="35"/>
      <c r="G511" s="35"/>
      <c r="H511" s="36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</row>
    <row r="512" ht="15.75" customHeight="1">
      <c r="A512" s="42"/>
      <c r="B512" s="35"/>
      <c r="C512" s="35"/>
      <c r="D512" s="35"/>
      <c r="E512" s="35"/>
      <c r="F512" s="35"/>
      <c r="G512" s="35"/>
      <c r="H512" s="36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</row>
    <row r="513" ht="15.75" customHeight="1">
      <c r="A513" s="42"/>
      <c r="B513" s="35"/>
      <c r="C513" s="35"/>
      <c r="D513" s="35"/>
      <c r="E513" s="35"/>
      <c r="F513" s="35"/>
      <c r="G513" s="35"/>
      <c r="H513" s="36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</row>
    <row r="514" ht="15.75" customHeight="1">
      <c r="A514" s="42"/>
      <c r="B514" s="35"/>
      <c r="C514" s="35"/>
      <c r="D514" s="35"/>
      <c r="E514" s="35"/>
      <c r="F514" s="35"/>
      <c r="G514" s="35"/>
      <c r="H514" s="36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</row>
    <row r="515" ht="15.75" customHeight="1">
      <c r="A515" s="42"/>
      <c r="B515" s="35"/>
      <c r="C515" s="35"/>
      <c r="D515" s="35"/>
      <c r="E515" s="35"/>
      <c r="F515" s="35"/>
      <c r="G515" s="35"/>
      <c r="H515" s="36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</row>
    <row r="516" ht="15.75" customHeight="1">
      <c r="A516" s="42"/>
      <c r="B516" s="35"/>
      <c r="C516" s="35"/>
      <c r="D516" s="35"/>
      <c r="E516" s="35"/>
      <c r="F516" s="35"/>
      <c r="G516" s="35"/>
      <c r="H516" s="36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</row>
    <row r="517" ht="15.75" customHeight="1">
      <c r="A517" s="42"/>
      <c r="B517" s="35"/>
      <c r="C517" s="35"/>
      <c r="D517" s="35"/>
      <c r="E517" s="35"/>
      <c r="F517" s="35"/>
      <c r="G517" s="35"/>
      <c r="H517" s="36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</row>
    <row r="518" ht="15.75" customHeight="1">
      <c r="A518" s="42"/>
      <c r="B518" s="35"/>
      <c r="C518" s="35"/>
      <c r="D518" s="35"/>
      <c r="E518" s="35"/>
      <c r="F518" s="35"/>
      <c r="G518" s="35"/>
      <c r="H518" s="36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</row>
    <row r="519" ht="15.75" customHeight="1">
      <c r="A519" s="42"/>
      <c r="B519" s="35"/>
      <c r="C519" s="35"/>
      <c r="D519" s="35"/>
      <c r="E519" s="35"/>
      <c r="F519" s="35"/>
      <c r="G519" s="35"/>
      <c r="H519" s="36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</row>
    <row r="520" ht="15.75" customHeight="1">
      <c r="A520" s="42"/>
      <c r="B520" s="35"/>
      <c r="C520" s="35"/>
      <c r="D520" s="35"/>
      <c r="E520" s="35"/>
      <c r="F520" s="35"/>
      <c r="G520" s="35"/>
      <c r="H520" s="36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</row>
    <row r="521" ht="15.75" customHeight="1">
      <c r="A521" s="42"/>
      <c r="B521" s="35"/>
      <c r="C521" s="35"/>
      <c r="D521" s="35"/>
      <c r="E521" s="35"/>
      <c r="F521" s="35"/>
      <c r="G521" s="35"/>
      <c r="H521" s="36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</row>
    <row r="522" ht="15.75" customHeight="1">
      <c r="A522" s="42"/>
      <c r="B522" s="35"/>
      <c r="C522" s="35"/>
      <c r="D522" s="35"/>
      <c r="E522" s="35"/>
      <c r="F522" s="35"/>
      <c r="G522" s="35"/>
      <c r="H522" s="36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</row>
    <row r="523" ht="15.75" customHeight="1">
      <c r="A523" s="42"/>
      <c r="B523" s="35"/>
      <c r="C523" s="35"/>
      <c r="D523" s="35"/>
      <c r="E523" s="35"/>
      <c r="F523" s="35"/>
      <c r="G523" s="35"/>
      <c r="H523" s="36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</row>
    <row r="524" ht="15.75" customHeight="1">
      <c r="A524" s="42"/>
      <c r="B524" s="35"/>
      <c r="C524" s="35"/>
      <c r="D524" s="35"/>
      <c r="E524" s="35"/>
      <c r="F524" s="35"/>
      <c r="G524" s="35"/>
      <c r="H524" s="36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</row>
    <row r="525" ht="15.75" customHeight="1">
      <c r="A525" s="42"/>
      <c r="B525" s="35"/>
      <c r="C525" s="35"/>
      <c r="D525" s="35"/>
      <c r="E525" s="35"/>
      <c r="F525" s="35"/>
      <c r="G525" s="35"/>
      <c r="H525" s="36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</row>
    <row r="526" ht="15.75" customHeight="1">
      <c r="A526" s="42"/>
      <c r="B526" s="35"/>
      <c r="C526" s="35"/>
      <c r="D526" s="35"/>
      <c r="E526" s="35"/>
      <c r="F526" s="35"/>
      <c r="G526" s="35"/>
      <c r="H526" s="36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</row>
    <row r="527" ht="15.75" customHeight="1">
      <c r="A527" s="42"/>
      <c r="B527" s="35"/>
      <c r="C527" s="35"/>
      <c r="D527" s="35"/>
      <c r="E527" s="35"/>
      <c r="F527" s="35"/>
      <c r="G527" s="35"/>
      <c r="H527" s="36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</row>
    <row r="528" ht="15.75" customHeight="1">
      <c r="A528" s="42"/>
      <c r="B528" s="35"/>
      <c r="C528" s="35"/>
      <c r="D528" s="35"/>
      <c r="E528" s="35"/>
      <c r="F528" s="35"/>
      <c r="G528" s="35"/>
      <c r="H528" s="36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</row>
    <row r="529" ht="15.75" customHeight="1">
      <c r="A529" s="42"/>
      <c r="B529" s="35"/>
      <c r="C529" s="35"/>
      <c r="D529" s="35"/>
      <c r="E529" s="35"/>
      <c r="F529" s="35"/>
      <c r="G529" s="35"/>
      <c r="H529" s="36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</row>
    <row r="530" ht="15.75" customHeight="1">
      <c r="A530" s="42"/>
      <c r="B530" s="35"/>
      <c r="C530" s="35"/>
      <c r="D530" s="35"/>
      <c r="E530" s="35"/>
      <c r="F530" s="35"/>
      <c r="G530" s="35"/>
      <c r="H530" s="36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</row>
    <row r="531" ht="15.75" customHeight="1">
      <c r="A531" s="42"/>
      <c r="B531" s="35"/>
      <c r="C531" s="35"/>
      <c r="D531" s="35"/>
      <c r="E531" s="35"/>
      <c r="F531" s="35"/>
      <c r="G531" s="35"/>
      <c r="H531" s="36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</row>
    <row r="532" ht="15.75" customHeight="1">
      <c r="A532" s="42"/>
      <c r="B532" s="35"/>
      <c r="C532" s="35"/>
      <c r="D532" s="35"/>
      <c r="E532" s="35"/>
      <c r="F532" s="35"/>
      <c r="G532" s="35"/>
      <c r="H532" s="36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</row>
    <row r="533" ht="15.75" customHeight="1">
      <c r="A533" s="42"/>
      <c r="B533" s="35"/>
      <c r="C533" s="35"/>
      <c r="D533" s="35"/>
      <c r="E533" s="35"/>
      <c r="F533" s="35"/>
      <c r="G533" s="35"/>
      <c r="H533" s="36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</row>
    <row r="534" ht="15.75" customHeight="1">
      <c r="A534" s="42"/>
      <c r="B534" s="35"/>
      <c r="C534" s="35"/>
      <c r="D534" s="35"/>
      <c r="E534" s="35"/>
      <c r="F534" s="35"/>
      <c r="G534" s="35"/>
      <c r="H534" s="36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</row>
    <row r="535" ht="15.75" customHeight="1">
      <c r="A535" s="42"/>
      <c r="B535" s="35"/>
      <c r="C535" s="35"/>
      <c r="D535" s="35"/>
      <c r="E535" s="35"/>
      <c r="F535" s="35"/>
      <c r="G535" s="35"/>
      <c r="H535" s="36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</row>
    <row r="536" ht="15.75" customHeight="1">
      <c r="A536" s="42"/>
      <c r="B536" s="35"/>
      <c r="C536" s="35"/>
      <c r="D536" s="35"/>
      <c r="E536" s="35"/>
      <c r="F536" s="35"/>
      <c r="G536" s="35"/>
      <c r="H536" s="36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</row>
    <row r="537" ht="15.75" customHeight="1">
      <c r="A537" s="42"/>
      <c r="B537" s="35"/>
      <c r="C537" s="35"/>
      <c r="D537" s="35"/>
      <c r="E537" s="35"/>
      <c r="F537" s="35"/>
      <c r="G537" s="35"/>
      <c r="H537" s="36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</row>
    <row r="538" ht="15.75" customHeight="1">
      <c r="A538" s="42"/>
      <c r="B538" s="35"/>
      <c r="C538" s="35"/>
      <c r="D538" s="35"/>
      <c r="E538" s="35"/>
      <c r="F538" s="35"/>
      <c r="G538" s="35"/>
      <c r="H538" s="36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</row>
    <row r="539" ht="15.75" customHeight="1">
      <c r="A539" s="42"/>
      <c r="B539" s="35"/>
      <c r="C539" s="35"/>
      <c r="D539" s="35"/>
      <c r="E539" s="35"/>
      <c r="F539" s="35"/>
      <c r="G539" s="35"/>
      <c r="H539" s="36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</row>
    <row r="540" ht="15.75" customHeight="1">
      <c r="A540" s="42"/>
      <c r="B540" s="35"/>
      <c r="C540" s="35"/>
      <c r="D540" s="35"/>
      <c r="E540" s="35"/>
      <c r="F540" s="35"/>
      <c r="G540" s="35"/>
      <c r="H540" s="36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</row>
    <row r="541" ht="15.75" customHeight="1">
      <c r="A541" s="42"/>
      <c r="B541" s="35"/>
      <c r="C541" s="35"/>
      <c r="D541" s="35"/>
      <c r="E541" s="35"/>
      <c r="F541" s="35"/>
      <c r="G541" s="35"/>
      <c r="H541" s="36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</row>
    <row r="542" ht="15.75" customHeight="1">
      <c r="A542" s="42"/>
      <c r="B542" s="35"/>
      <c r="C542" s="35"/>
      <c r="D542" s="35"/>
      <c r="E542" s="35"/>
      <c r="F542" s="35"/>
      <c r="G542" s="35"/>
      <c r="H542" s="36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</row>
    <row r="543" ht="15.75" customHeight="1">
      <c r="A543" s="42"/>
      <c r="B543" s="35"/>
      <c r="C543" s="35"/>
      <c r="D543" s="35"/>
      <c r="E543" s="35"/>
      <c r="F543" s="35"/>
      <c r="G543" s="35"/>
      <c r="H543" s="36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</row>
    <row r="544" ht="15.75" customHeight="1">
      <c r="A544" s="42"/>
      <c r="B544" s="35"/>
      <c r="C544" s="35"/>
      <c r="D544" s="35"/>
      <c r="E544" s="35"/>
      <c r="F544" s="35"/>
      <c r="G544" s="35"/>
      <c r="H544" s="36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</row>
    <row r="545" ht="15.75" customHeight="1">
      <c r="A545" s="42"/>
      <c r="B545" s="35"/>
      <c r="C545" s="35"/>
      <c r="D545" s="35"/>
      <c r="E545" s="35"/>
      <c r="F545" s="35"/>
      <c r="G545" s="35"/>
      <c r="H545" s="36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</row>
    <row r="546" ht="15.75" customHeight="1">
      <c r="A546" s="42"/>
      <c r="B546" s="35"/>
      <c r="C546" s="35"/>
      <c r="D546" s="35"/>
      <c r="E546" s="35"/>
      <c r="F546" s="35"/>
      <c r="G546" s="35"/>
      <c r="H546" s="36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</row>
    <row r="547" ht="15.75" customHeight="1">
      <c r="A547" s="42"/>
      <c r="B547" s="35"/>
      <c r="C547" s="35"/>
      <c r="D547" s="35"/>
      <c r="E547" s="35"/>
      <c r="F547" s="35"/>
      <c r="G547" s="35"/>
      <c r="H547" s="36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</row>
    <row r="548" ht="15.75" customHeight="1">
      <c r="A548" s="42"/>
      <c r="B548" s="35"/>
      <c r="C548" s="35"/>
      <c r="D548" s="35"/>
      <c r="E548" s="35"/>
      <c r="F548" s="35"/>
      <c r="G548" s="35"/>
      <c r="H548" s="36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</row>
    <row r="549" ht="15.75" customHeight="1">
      <c r="A549" s="42"/>
      <c r="B549" s="35"/>
      <c r="C549" s="35"/>
      <c r="D549" s="35"/>
      <c r="E549" s="35"/>
      <c r="F549" s="35"/>
      <c r="G549" s="35"/>
      <c r="H549" s="36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</row>
    <row r="550" ht="15.75" customHeight="1">
      <c r="A550" s="42"/>
      <c r="B550" s="35"/>
      <c r="C550" s="35"/>
      <c r="D550" s="35"/>
      <c r="E550" s="35"/>
      <c r="F550" s="35"/>
      <c r="G550" s="35"/>
      <c r="H550" s="36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</row>
    <row r="551" ht="15.75" customHeight="1">
      <c r="A551" s="42"/>
      <c r="B551" s="35"/>
      <c r="C551" s="35"/>
      <c r="D551" s="35"/>
      <c r="E551" s="35"/>
      <c r="F551" s="35"/>
      <c r="G551" s="35"/>
      <c r="H551" s="36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</row>
    <row r="552" ht="15.75" customHeight="1">
      <c r="A552" s="42"/>
      <c r="B552" s="35"/>
      <c r="C552" s="35"/>
      <c r="D552" s="35"/>
      <c r="E552" s="35"/>
      <c r="F552" s="35"/>
      <c r="G552" s="35"/>
      <c r="H552" s="36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</row>
    <row r="553" ht="15.75" customHeight="1">
      <c r="A553" s="42"/>
      <c r="B553" s="35"/>
      <c r="C553" s="35"/>
      <c r="D553" s="35"/>
      <c r="E553" s="35"/>
      <c r="F553" s="35"/>
      <c r="G553" s="35"/>
      <c r="H553" s="36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</row>
    <row r="554" ht="15.75" customHeight="1">
      <c r="A554" s="42"/>
      <c r="B554" s="35"/>
      <c r="C554" s="35"/>
      <c r="D554" s="35"/>
      <c r="E554" s="35"/>
      <c r="F554" s="35"/>
      <c r="G554" s="35"/>
      <c r="H554" s="36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</row>
    <row r="555" ht="15.75" customHeight="1">
      <c r="A555" s="42"/>
      <c r="B555" s="35"/>
      <c r="C555" s="35"/>
      <c r="D555" s="35"/>
      <c r="E555" s="35"/>
      <c r="F555" s="35"/>
      <c r="G555" s="35"/>
      <c r="H555" s="36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</row>
    <row r="556" ht="15.75" customHeight="1">
      <c r="A556" s="42"/>
      <c r="B556" s="35"/>
      <c r="C556" s="35"/>
      <c r="D556" s="35"/>
      <c r="E556" s="35"/>
      <c r="F556" s="35"/>
      <c r="G556" s="35"/>
      <c r="H556" s="36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</row>
    <row r="557" ht="15.75" customHeight="1">
      <c r="A557" s="42"/>
      <c r="B557" s="35"/>
      <c r="C557" s="35"/>
      <c r="D557" s="35"/>
      <c r="E557" s="35"/>
      <c r="F557" s="35"/>
      <c r="G557" s="35"/>
      <c r="H557" s="36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</row>
    <row r="558" ht="15.75" customHeight="1">
      <c r="A558" s="42"/>
      <c r="B558" s="35"/>
      <c r="C558" s="35"/>
      <c r="D558" s="35"/>
      <c r="E558" s="35"/>
      <c r="F558" s="35"/>
      <c r="G558" s="35"/>
      <c r="H558" s="36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</row>
    <row r="559" ht="15.75" customHeight="1">
      <c r="A559" s="42"/>
      <c r="B559" s="35"/>
      <c r="C559" s="35"/>
      <c r="D559" s="35"/>
      <c r="E559" s="35"/>
      <c r="F559" s="35"/>
      <c r="G559" s="35"/>
      <c r="H559" s="36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</row>
    <row r="560" ht="15.75" customHeight="1">
      <c r="A560" s="42"/>
      <c r="B560" s="35"/>
      <c r="C560" s="35"/>
      <c r="D560" s="35"/>
      <c r="E560" s="35"/>
      <c r="F560" s="35"/>
      <c r="G560" s="35"/>
      <c r="H560" s="36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</row>
    <row r="561" ht="15.75" customHeight="1">
      <c r="A561" s="42"/>
      <c r="B561" s="35"/>
      <c r="C561" s="35"/>
      <c r="D561" s="35"/>
      <c r="E561" s="35"/>
      <c r="F561" s="35"/>
      <c r="G561" s="35"/>
      <c r="H561" s="36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</row>
    <row r="562" ht="15.75" customHeight="1">
      <c r="A562" s="42"/>
      <c r="B562" s="35"/>
      <c r="C562" s="35"/>
      <c r="D562" s="35"/>
      <c r="E562" s="35"/>
      <c r="F562" s="35"/>
      <c r="G562" s="35"/>
      <c r="H562" s="36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</row>
    <row r="563" ht="15.75" customHeight="1">
      <c r="A563" s="42"/>
      <c r="B563" s="35"/>
      <c r="C563" s="35"/>
      <c r="D563" s="35"/>
      <c r="E563" s="35"/>
      <c r="F563" s="35"/>
      <c r="G563" s="35"/>
      <c r="H563" s="36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</row>
    <row r="564" ht="15.75" customHeight="1">
      <c r="A564" s="42"/>
      <c r="B564" s="35"/>
      <c r="C564" s="35"/>
      <c r="D564" s="35"/>
      <c r="E564" s="35"/>
      <c r="F564" s="35"/>
      <c r="G564" s="35"/>
      <c r="H564" s="36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</row>
    <row r="565" ht="15.75" customHeight="1">
      <c r="A565" s="42"/>
      <c r="B565" s="35"/>
      <c r="C565" s="35"/>
      <c r="D565" s="35"/>
      <c r="E565" s="35"/>
      <c r="F565" s="35"/>
      <c r="G565" s="35"/>
      <c r="H565" s="36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</row>
    <row r="566" ht="15.75" customHeight="1">
      <c r="A566" s="42"/>
      <c r="B566" s="35"/>
      <c r="C566" s="35"/>
      <c r="D566" s="35"/>
      <c r="E566" s="35"/>
      <c r="F566" s="35"/>
      <c r="G566" s="35"/>
      <c r="H566" s="36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</row>
    <row r="567" ht="15.75" customHeight="1">
      <c r="A567" s="42"/>
      <c r="B567" s="35"/>
      <c r="C567" s="35"/>
      <c r="D567" s="35"/>
      <c r="E567" s="35"/>
      <c r="F567" s="35"/>
      <c r="G567" s="35"/>
      <c r="H567" s="36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</row>
    <row r="568" ht="15.75" customHeight="1">
      <c r="A568" s="42"/>
      <c r="B568" s="35"/>
      <c r="C568" s="35"/>
      <c r="D568" s="35"/>
      <c r="E568" s="35"/>
      <c r="F568" s="35"/>
      <c r="G568" s="35"/>
      <c r="H568" s="36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</row>
    <row r="569" ht="15.75" customHeight="1">
      <c r="A569" s="42"/>
      <c r="B569" s="35"/>
      <c r="C569" s="35"/>
      <c r="D569" s="35"/>
      <c r="E569" s="35"/>
      <c r="F569" s="35"/>
      <c r="G569" s="35"/>
      <c r="H569" s="36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</row>
    <row r="570" ht="15.75" customHeight="1">
      <c r="A570" s="42"/>
      <c r="B570" s="35"/>
      <c r="C570" s="35"/>
      <c r="D570" s="35"/>
      <c r="E570" s="35"/>
      <c r="F570" s="35"/>
      <c r="G570" s="35"/>
      <c r="H570" s="36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</row>
    <row r="571" ht="15.75" customHeight="1">
      <c r="A571" s="42"/>
      <c r="B571" s="35"/>
      <c r="C571" s="35"/>
      <c r="D571" s="35"/>
      <c r="E571" s="35"/>
      <c r="F571" s="35"/>
      <c r="G571" s="35"/>
      <c r="H571" s="36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</row>
    <row r="572" ht="15.75" customHeight="1">
      <c r="A572" s="42"/>
      <c r="B572" s="35"/>
      <c r="C572" s="35"/>
      <c r="D572" s="35"/>
      <c r="E572" s="35"/>
      <c r="F572" s="35"/>
      <c r="G572" s="35"/>
      <c r="H572" s="36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</row>
    <row r="573" ht="15.75" customHeight="1">
      <c r="A573" s="42"/>
      <c r="B573" s="35"/>
      <c r="C573" s="35"/>
      <c r="D573" s="35"/>
      <c r="E573" s="35"/>
      <c r="F573" s="35"/>
      <c r="G573" s="35"/>
      <c r="H573" s="36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</row>
    <row r="574" ht="15.75" customHeight="1">
      <c r="A574" s="42"/>
      <c r="B574" s="35"/>
      <c r="C574" s="35"/>
      <c r="D574" s="35"/>
      <c r="E574" s="35"/>
      <c r="F574" s="35"/>
      <c r="G574" s="35"/>
      <c r="H574" s="36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</row>
    <row r="575" ht="15.75" customHeight="1">
      <c r="A575" s="42"/>
      <c r="B575" s="35"/>
      <c r="C575" s="35"/>
      <c r="D575" s="35"/>
      <c r="E575" s="35"/>
      <c r="F575" s="35"/>
      <c r="G575" s="35"/>
      <c r="H575" s="36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</row>
    <row r="576" ht="15.75" customHeight="1">
      <c r="A576" s="42"/>
      <c r="B576" s="35"/>
      <c r="C576" s="35"/>
      <c r="D576" s="35"/>
      <c r="E576" s="35"/>
      <c r="F576" s="35"/>
      <c r="G576" s="35"/>
      <c r="H576" s="36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</row>
    <row r="577" ht="15.75" customHeight="1">
      <c r="A577" s="42"/>
      <c r="B577" s="35"/>
      <c r="C577" s="35"/>
      <c r="D577" s="35"/>
      <c r="E577" s="35"/>
      <c r="F577" s="35"/>
      <c r="G577" s="35"/>
      <c r="H577" s="36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</row>
    <row r="578" ht="15.75" customHeight="1">
      <c r="A578" s="42"/>
      <c r="B578" s="35"/>
      <c r="C578" s="35"/>
      <c r="D578" s="35"/>
      <c r="E578" s="35"/>
      <c r="F578" s="35"/>
      <c r="G578" s="35"/>
      <c r="H578" s="36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</row>
    <row r="579" ht="15.75" customHeight="1">
      <c r="A579" s="42"/>
      <c r="B579" s="35"/>
      <c r="C579" s="35"/>
      <c r="D579" s="35"/>
      <c r="E579" s="35"/>
      <c r="F579" s="35"/>
      <c r="G579" s="35"/>
      <c r="H579" s="36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</row>
    <row r="580" ht="15.75" customHeight="1">
      <c r="A580" s="42"/>
      <c r="B580" s="35"/>
      <c r="C580" s="35"/>
      <c r="D580" s="35"/>
      <c r="E580" s="35"/>
      <c r="F580" s="35"/>
      <c r="G580" s="35"/>
      <c r="H580" s="36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</row>
    <row r="581" ht="15.75" customHeight="1">
      <c r="A581" s="42"/>
      <c r="B581" s="35"/>
      <c r="C581" s="35"/>
      <c r="D581" s="35"/>
      <c r="E581" s="35"/>
      <c r="F581" s="35"/>
      <c r="G581" s="35"/>
      <c r="H581" s="36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</row>
    <row r="582" ht="15.75" customHeight="1">
      <c r="A582" s="42"/>
      <c r="B582" s="35"/>
      <c r="C582" s="35"/>
      <c r="D582" s="35"/>
      <c r="E582" s="35"/>
      <c r="F582" s="35"/>
      <c r="G582" s="35"/>
      <c r="H582" s="36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</row>
    <row r="583" ht="15.75" customHeight="1">
      <c r="A583" s="42"/>
      <c r="B583" s="35"/>
      <c r="C583" s="35"/>
      <c r="D583" s="35"/>
      <c r="E583" s="35"/>
      <c r="F583" s="35"/>
      <c r="G583" s="35"/>
      <c r="H583" s="36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</row>
    <row r="584" ht="15.75" customHeight="1">
      <c r="A584" s="42"/>
      <c r="B584" s="35"/>
      <c r="C584" s="35"/>
      <c r="D584" s="35"/>
      <c r="E584" s="35"/>
      <c r="F584" s="35"/>
      <c r="G584" s="35"/>
      <c r="H584" s="36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</row>
    <row r="585" ht="15.75" customHeight="1">
      <c r="A585" s="42"/>
      <c r="B585" s="35"/>
      <c r="C585" s="35"/>
      <c r="D585" s="35"/>
      <c r="E585" s="35"/>
      <c r="F585" s="35"/>
      <c r="G585" s="35"/>
      <c r="H585" s="36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</row>
    <row r="586" ht="15.75" customHeight="1">
      <c r="A586" s="42"/>
      <c r="B586" s="35"/>
      <c r="C586" s="35"/>
      <c r="D586" s="35"/>
      <c r="E586" s="35"/>
      <c r="F586" s="35"/>
      <c r="G586" s="35"/>
      <c r="H586" s="36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</row>
    <row r="587" ht="15.75" customHeight="1">
      <c r="A587" s="42"/>
      <c r="B587" s="35"/>
      <c r="C587" s="35"/>
      <c r="D587" s="35"/>
      <c r="E587" s="35"/>
      <c r="F587" s="35"/>
      <c r="G587" s="35"/>
      <c r="H587" s="36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</row>
    <row r="588" ht="15.75" customHeight="1">
      <c r="A588" s="42"/>
      <c r="B588" s="35"/>
      <c r="C588" s="35"/>
      <c r="D588" s="35"/>
      <c r="E588" s="35"/>
      <c r="F588" s="35"/>
      <c r="G588" s="35"/>
      <c r="H588" s="36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</row>
    <row r="589" ht="15.75" customHeight="1">
      <c r="A589" s="42"/>
      <c r="B589" s="35"/>
      <c r="C589" s="35"/>
      <c r="D589" s="35"/>
      <c r="E589" s="35"/>
      <c r="F589" s="35"/>
      <c r="G589" s="35"/>
      <c r="H589" s="36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</row>
    <row r="590" ht="15.75" customHeight="1">
      <c r="A590" s="42"/>
      <c r="B590" s="35"/>
      <c r="C590" s="35"/>
      <c r="D590" s="35"/>
      <c r="E590" s="35"/>
      <c r="F590" s="35"/>
      <c r="G590" s="35"/>
      <c r="H590" s="36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</row>
    <row r="591" ht="15.75" customHeight="1">
      <c r="A591" s="42"/>
      <c r="B591" s="35"/>
      <c r="C591" s="35"/>
      <c r="D591" s="35"/>
      <c r="E591" s="35"/>
      <c r="F591" s="35"/>
      <c r="G591" s="35"/>
      <c r="H591" s="36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</row>
    <row r="592" ht="15.75" customHeight="1">
      <c r="A592" s="42"/>
      <c r="B592" s="35"/>
      <c r="C592" s="35"/>
      <c r="D592" s="35"/>
      <c r="E592" s="35"/>
      <c r="F592" s="35"/>
      <c r="G592" s="35"/>
      <c r="H592" s="36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</row>
    <row r="593" ht="15.75" customHeight="1">
      <c r="A593" s="42"/>
      <c r="B593" s="35"/>
      <c r="C593" s="35"/>
      <c r="D593" s="35"/>
      <c r="E593" s="35"/>
      <c r="F593" s="35"/>
      <c r="G593" s="35"/>
      <c r="H593" s="36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</row>
    <row r="594" ht="15.75" customHeight="1">
      <c r="A594" s="42"/>
      <c r="B594" s="35"/>
      <c r="C594" s="35"/>
      <c r="D594" s="35"/>
      <c r="E594" s="35"/>
      <c r="F594" s="35"/>
      <c r="G594" s="35"/>
      <c r="H594" s="36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</row>
    <row r="595" ht="15.75" customHeight="1">
      <c r="A595" s="42"/>
      <c r="B595" s="35"/>
      <c r="C595" s="35"/>
      <c r="D595" s="35"/>
      <c r="E595" s="35"/>
      <c r="F595" s="35"/>
      <c r="G595" s="35"/>
      <c r="H595" s="36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</row>
    <row r="596" ht="15.75" customHeight="1">
      <c r="A596" s="42"/>
      <c r="B596" s="35"/>
      <c r="C596" s="35"/>
      <c r="D596" s="35"/>
      <c r="E596" s="35"/>
      <c r="F596" s="35"/>
      <c r="G596" s="35"/>
      <c r="H596" s="36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</row>
    <row r="597" ht="15.75" customHeight="1">
      <c r="A597" s="42"/>
      <c r="B597" s="35"/>
      <c r="C597" s="35"/>
      <c r="D597" s="35"/>
      <c r="E597" s="35"/>
      <c r="F597" s="35"/>
      <c r="G597" s="35"/>
      <c r="H597" s="36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</row>
    <row r="598" ht="15.75" customHeight="1">
      <c r="A598" s="42"/>
      <c r="B598" s="35"/>
      <c r="C598" s="35"/>
      <c r="D598" s="35"/>
      <c r="E598" s="35"/>
      <c r="F598" s="35"/>
      <c r="G598" s="35"/>
      <c r="H598" s="36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</row>
    <row r="599" ht="15.75" customHeight="1">
      <c r="A599" s="42"/>
      <c r="B599" s="35"/>
      <c r="C599" s="35"/>
      <c r="D599" s="35"/>
      <c r="E599" s="35"/>
      <c r="F599" s="35"/>
      <c r="G599" s="35"/>
      <c r="H599" s="36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</row>
    <row r="600" ht="15.75" customHeight="1">
      <c r="A600" s="42"/>
      <c r="B600" s="35"/>
      <c r="C600" s="35"/>
      <c r="D600" s="35"/>
      <c r="E600" s="35"/>
      <c r="F600" s="35"/>
      <c r="G600" s="35"/>
      <c r="H600" s="36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</row>
    <row r="601" ht="15.75" customHeight="1">
      <c r="A601" s="42"/>
      <c r="B601" s="35"/>
      <c r="C601" s="35"/>
      <c r="D601" s="35"/>
      <c r="E601" s="35"/>
      <c r="F601" s="35"/>
      <c r="G601" s="35"/>
      <c r="H601" s="36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</row>
    <row r="602" ht="15.75" customHeight="1">
      <c r="A602" s="42"/>
      <c r="B602" s="35"/>
      <c r="C602" s="35"/>
      <c r="D602" s="35"/>
      <c r="E602" s="35"/>
      <c r="F602" s="35"/>
      <c r="G602" s="35"/>
      <c r="H602" s="36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</row>
    <row r="603" ht="15.75" customHeight="1">
      <c r="A603" s="42"/>
      <c r="B603" s="35"/>
      <c r="C603" s="35"/>
      <c r="D603" s="35"/>
      <c r="E603" s="35"/>
      <c r="F603" s="35"/>
      <c r="G603" s="35"/>
      <c r="H603" s="36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</row>
    <row r="604" ht="15.75" customHeight="1">
      <c r="A604" s="42"/>
      <c r="B604" s="35"/>
      <c r="C604" s="35"/>
      <c r="D604" s="35"/>
      <c r="E604" s="35"/>
      <c r="F604" s="35"/>
      <c r="G604" s="35"/>
      <c r="H604" s="36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</row>
    <row r="605" ht="15.75" customHeight="1">
      <c r="A605" s="42"/>
      <c r="B605" s="35"/>
      <c r="C605" s="35"/>
      <c r="D605" s="35"/>
      <c r="E605" s="35"/>
      <c r="F605" s="35"/>
      <c r="G605" s="35"/>
      <c r="H605" s="36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</row>
    <row r="606" ht="15.75" customHeight="1">
      <c r="A606" s="42"/>
      <c r="B606" s="35"/>
      <c r="C606" s="35"/>
      <c r="D606" s="35"/>
      <c r="E606" s="35"/>
      <c r="F606" s="35"/>
      <c r="G606" s="35"/>
      <c r="H606" s="36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</row>
    <row r="607" ht="15.75" customHeight="1">
      <c r="A607" s="42"/>
      <c r="B607" s="35"/>
      <c r="C607" s="35"/>
      <c r="D607" s="35"/>
      <c r="E607" s="35"/>
      <c r="F607" s="35"/>
      <c r="G607" s="35"/>
      <c r="H607" s="36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</row>
    <row r="608" ht="15.75" customHeight="1">
      <c r="A608" s="42"/>
      <c r="B608" s="35"/>
      <c r="C608" s="35"/>
      <c r="D608" s="35"/>
      <c r="E608" s="35"/>
      <c r="F608" s="35"/>
      <c r="G608" s="35"/>
      <c r="H608" s="36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</row>
    <row r="609" ht="15.75" customHeight="1">
      <c r="A609" s="42"/>
      <c r="B609" s="35"/>
      <c r="C609" s="35"/>
      <c r="D609" s="35"/>
      <c r="E609" s="35"/>
      <c r="F609" s="35"/>
      <c r="G609" s="35"/>
      <c r="H609" s="36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</row>
    <row r="610" ht="15.75" customHeight="1">
      <c r="A610" s="42"/>
      <c r="B610" s="35"/>
      <c r="C610" s="35"/>
      <c r="D610" s="35"/>
      <c r="E610" s="35"/>
      <c r="F610" s="35"/>
      <c r="G610" s="35"/>
      <c r="H610" s="36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</row>
    <row r="611" ht="15.75" customHeight="1">
      <c r="A611" s="42"/>
      <c r="B611" s="35"/>
      <c r="C611" s="35"/>
      <c r="D611" s="35"/>
      <c r="E611" s="35"/>
      <c r="F611" s="35"/>
      <c r="G611" s="35"/>
      <c r="H611" s="36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</row>
    <row r="612" ht="15.75" customHeight="1">
      <c r="A612" s="42"/>
      <c r="B612" s="35"/>
      <c r="C612" s="35"/>
      <c r="D612" s="35"/>
      <c r="E612" s="35"/>
      <c r="F612" s="35"/>
      <c r="G612" s="35"/>
      <c r="H612" s="36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</row>
    <row r="613" ht="15.75" customHeight="1">
      <c r="A613" s="42"/>
      <c r="B613" s="35"/>
      <c r="C613" s="35"/>
      <c r="D613" s="35"/>
      <c r="E613" s="35"/>
      <c r="F613" s="35"/>
      <c r="G613" s="35"/>
      <c r="H613" s="36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</row>
    <row r="614" ht="15.75" customHeight="1">
      <c r="A614" s="42"/>
      <c r="B614" s="35"/>
      <c r="C614" s="35"/>
      <c r="D614" s="35"/>
      <c r="E614" s="35"/>
      <c r="F614" s="35"/>
      <c r="G614" s="35"/>
      <c r="H614" s="36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</row>
    <row r="615" ht="15.75" customHeight="1">
      <c r="A615" s="42"/>
      <c r="B615" s="35"/>
      <c r="C615" s="35"/>
      <c r="D615" s="35"/>
      <c r="E615" s="35"/>
      <c r="F615" s="35"/>
      <c r="G615" s="35"/>
      <c r="H615" s="36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</row>
    <row r="616" ht="15.75" customHeight="1">
      <c r="A616" s="42"/>
      <c r="B616" s="35"/>
      <c r="C616" s="35"/>
      <c r="D616" s="35"/>
      <c r="E616" s="35"/>
      <c r="F616" s="35"/>
      <c r="G616" s="35"/>
      <c r="H616" s="36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</row>
    <row r="617" ht="15.75" customHeight="1">
      <c r="A617" s="42"/>
      <c r="B617" s="35"/>
      <c r="C617" s="35"/>
      <c r="D617" s="35"/>
      <c r="E617" s="35"/>
      <c r="F617" s="35"/>
      <c r="G617" s="35"/>
      <c r="H617" s="36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</row>
    <row r="618" ht="15.75" customHeight="1">
      <c r="A618" s="42"/>
      <c r="B618" s="35"/>
      <c r="C618" s="35"/>
      <c r="D618" s="35"/>
      <c r="E618" s="35"/>
      <c r="F618" s="35"/>
      <c r="G618" s="35"/>
      <c r="H618" s="36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</row>
    <row r="619" ht="15.75" customHeight="1">
      <c r="A619" s="42"/>
      <c r="B619" s="35"/>
      <c r="C619" s="35"/>
      <c r="D619" s="35"/>
      <c r="E619" s="35"/>
      <c r="F619" s="35"/>
      <c r="G619" s="35"/>
      <c r="H619" s="36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</row>
    <row r="620" ht="15.75" customHeight="1">
      <c r="A620" s="42"/>
      <c r="B620" s="35"/>
      <c r="C620" s="35"/>
      <c r="D620" s="35"/>
      <c r="E620" s="35"/>
      <c r="F620" s="35"/>
      <c r="G620" s="35"/>
      <c r="H620" s="36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</row>
    <row r="621" ht="15.75" customHeight="1">
      <c r="A621" s="42"/>
      <c r="B621" s="35"/>
      <c r="C621" s="35"/>
      <c r="D621" s="35"/>
      <c r="E621" s="35"/>
      <c r="F621" s="35"/>
      <c r="G621" s="35"/>
      <c r="H621" s="36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</row>
    <row r="622" ht="15.75" customHeight="1">
      <c r="A622" s="42"/>
      <c r="B622" s="35"/>
      <c r="C622" s="35"/>
      <c r="D622" s="35"/>
      <c r="E622" s="35"/>
      <c r="F622" s="35"/>
      <c r="G622" s="35"/>
      <c r="H622" s="36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</row>
    <row r="623" ht="15.75" customHeight="1">
      <c r="A623" s="42"/>
      <c r="B623" s="35"/>
      <c r="C623" s="35"/>
      <c r="D623" s="35"/>
      <c r="E623" s="35"/>
      <c r="F623" s="35"/>
      <c r="G623" s="35"/>
      <c r="H623" s="36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</row>
    <row r="624" ht="15.75" customHeight="1">
      <c r="A624" s="42"/>
      <c r="B624" s="35"/>
      <c r="C624" s="35"/>
      <c r="D624" s="35"/>
      <c r="E624" s="35"/>
      <c r="F624" s="35"/>
      <c r="G624" s="35"/>
      <c r="H624" s="36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</row>
    <row r="625" ht="15.75" customHeight="1">
      <c r="A625" s="42"/>
      <c r="B625" s="35"/>
      <c r="C625" s="35"/>
      <c r="D625" s="35"/>
      <c r="E625" s="35"/>
      <c r="F625" s="35"/>
      <c r="G625" s="35"/>
      <c r="H625" s="36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</row>
    <row r="626" ht="15.75" customHeight="1">
      <c r="A626" s="42"/>
      <c r="B626" s="35"/>
      <c r="C626" s="35"/>
      <c r="D626" s="35"/>
      <c r="E626" s="35"/>
      <c r="F626" s="35"/>
      <c r="G626" s="35"/>
      <c r="H626" s="36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</row>
    <row r="627" ht="15.75" customHeight="1">
      <c r="A627" s="42"/>
      <c r="B627" s="35"/>
      <c r="C627" s="35"/>
      <c r="D627" s="35"/>
      <c r="E627" s="35"/>
      <c r="F627" s="35"/>
      <c r="G627" s="35"/>
      <c r="H627" s="36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</row>
    <row r="628" ht="15.75" customHeight="1">
      <c r="A628" s="42"/>
      <c r="B628" s="35"/>
      <c r="C628" s="35"/>
      <c r="D628" s="35"/>
      <c r="E628" s="35"/>
      <c r="F628" s="35"/>
      <c r="G628" s="35"/>
      <c r="H628" s="36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</row>
    <row r="629" ht="15.75" customHeight="1">
      <c r="A629" s="42"/>
      <c r="B629" s="35"/>
      <c r="C629" s="35"/>
      <c r="D629" s="35"/>
      <c r="E629" s="35"/>
      <c r="F629" s="35"/>
      <c r="G629" s="35"/>
      <c r="H629" s="36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</row>
    <row r="630" ht="15.75" customHeight="1">
      <c r="A630" s="42"/>
      <c r="B630" s="35"/>
      <c r="C630" s="35"/>
      <c r="D630" s="35"/>
      <c r="E630" s="35"/>
      <c r="F630" s="35"/>
      <c r="G630" s="35"/>
      <c r="H630" s="36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</row>
    <row r="631" ht="15.75" customHeight="1">
      <c r="A631" s="42"/>
      <c r="B631" s="35"/>
      <c r="C631" s="35"/>
      <c r="D631" s="35"/>
      <c r="E631" s="35"/>
      <c r="F631" s="35"/>
      <c r="G631" s="35"/>
      <c r="H631" s="36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</row>
    <row r="632" ht="15.75" customHeight="1">
      <c r="A632" s="42"/>
      <c r="B632" s="35"/>
      <c r="C632" s="35"/>
      <c r="D632" s="35"/>
      <c r="E632" s="35"/>
      <c r="F632" s="35"/>
      <c r="G632" s="35"/>
      <c r="H632" s="36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</row>
    <row r="633" ht="15.75" customHeight="1">
      <c r="A633" s="42"/>
      <c r="B633" s="35"/>
      <c r="C633" s="35"/>
      <c r="D633" s="35"/>
      <c r="E633" s="35"/>
      <c r="F633" s="35"/>
      <c r="G633" s="35"/>
      <c r="H633" s="36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</row>
    <row r="634" ht="15.75" customHeight="1">
      <c r="A634" s="42"/>
      <c r="B634" s="35"/>
      <c r="C634" s="35"/>
      <c r="D634" s="35"/>
      <c r="E634" s="35"/>
      <c r="F634" s="35"/>
      <c r="G634" s="35"/>
      <c r="H634" s="36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</row>
    <row r="635" ht="15.75" customHeight="1">
      <c r="A635" s="42"/>
      <c r="B635" s="35"/>
      <c r="C635" s="35"/>
      <c r="D635" s="35"/>
      <c r="E635" s="35"/>
      <c r="F635" s="35"/>
      <c r="G635" s="35"/>
      <c r="H635" s="36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</row>
    <row r="636" ht="15.75" customHeight="1">
      <c r="A636" s="42"/>
      <c r="B636" s="35"/>
      <c r="C636" s="35"/>
      <c r="D636" s="35"/>
      <c r="E636" s="35"/>
      <c r="F636" s="35"/>
      <c r="G636" s="35"/>
      <c r="H636" s="36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</row>
    <row r="637" ht="15.75" customHeight="1">
      <c r="A637" s="42"/>
      <c r="B637" s="35"/>
      <c r="C637" s="35"/>
      <c r="D637" s="35"/>
      <c r="E637" s="35"/>
      <c r="F637" s="35"/>
      <c r="G637" s="35"/>
      <c r="H637" s="36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</row>
    <row r="638" ht="15.75" customHeight="1">
      <c r="A638" s="42"/>
      <c r="B638" s="35"/>
      <c r="C638" s="35"/>
      <c r="D638" s="35"/>
      <c r="E638" s="35"/>
      <c r="F638" s="35"/>
      <c r="G638" s="35"/>
      <c r="H638" s="36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</row>
    <row r="639" ht="15.75" customHeight="1">
      <c r="A639" s="42"/>
      <c r="B639" s="35"/>
      <c r="C639" s="35"/>
      <c r="D639" s="35"/>
      <c r="E639" s="35"/>
      <c r="F639" s="35"/>
      <c r="G639" s="35"/>
      <c r="H639" s="36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</row>
    <row r="640" ht="15.75" customHeight="1">
      <c r="A640" s="42"/>
      <c r="B640" s="35"/>
      <c r="C640" s="35"/>
      <c r="D640" s="35"/>
      <c r="E640" s="35"/>
      <c r="F640" s="35"/>
      <c r="G640" s="35"/>
      <c r="H640" s="36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</row>
    <row r="641" ht="15.75" customHeight="1">
      <c r="A641" s="42"/>
      <c r="B641" s="35"/>
      <c r="C641" s="35"/>
      <c r="D641" s="35"/>
      <c r="E641" s="35"/>
      <c r="F641" s="35"/>
      <c r="G641" s="35"/>
      <c r="H641" s="36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</row>
    <row r="642" ht="15.75" customHeight="1">
      <c r="A642" s="42"/>
      <c r="B642" s="35"/>
      <c r="C642" s="35"/>
      <c r="D642" s="35"/>
      <c r="E642" s="35"/>
      <c r="F642" s="35"/>
      <c r="G642" s="35"/>
      <c r="H642" s="36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</row>
    <row r="643" ht="15.75" customHeight="1">
      <c r="A643" s="42"/>
      <c r="B643" s="35"/>
      <c r="C643" s="35"/>
      <c r="D643" s="35"/>
      <c r="E643" s="35"/>
      <c r="F643" s="35"/>
      <c r="G643" s="35"/>
      <c r="H643" s="36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</row>
    <row r="644" ht="15.75" customHeight="1">
      <c r="A644" s="42"/>
      <c r="B644" s="35"/>
      <c r="C644" s="35"/>
      <c r="D644" s="35"/>
      <c r="E644" s="35"/>
      <c r="F644" s="35"/>
      <c r="G644" s="35"/>
      <c r="H644" s="36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</row>
    <row r="645" ht="15.75" customHeight="1">
      <c r="A645" s="42"/>
      <c r="B645" s="35"/>
      <c r="C645" s="35"/>
      <c r="D645" s="35"/>
      <c r="E645" s="35"/>
      <c r="F645" s="35"/>
      <c r="G645" s="35"/>
      <c r="H645" s="36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</row>
    <row r="646" ht="15.75" customHeight="1">
      <c r="A646" s="42"/>
      <c r="B646" s="35"/>
      <c r="C646" s="35"/>
      <c r="D646" s="35"/>
      <c r="E646" s="35"/>
      <c r="F646" s="35"/>
      <c r="G646" s="35"/>
      <c r="H646" s="36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</row>
    <row r="647" ht="15.75" customHeight="1">
      <c r="A647" s="42"/>
      <c r="B647" s="35"/>
      <c r="C647" s="35"/>
      <c r="D647" s="35"/>
      <c r="E647" s="35"/>
      <c r="F647" s="35"/>
      <c r="G647" s="35"/>
      <c r="H647" s="36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</row>
    <row r="648" ht="15.75" customHeight="1">
      <c r="A648" s="42"/>
      <c r="B648" s="35"/>
      <c r="C648" s="35"/>
      <c r="D648" s="35"/>
      <c r="E648" s="35"/>
      <c r="F648" s="35"/>
      <c r="G648" s="35"/>
      <c r="H648" s="36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</row>
    <row r="649" ht="15.75" customHeight="1">
      <c r="A649" s="42"/>
      <c r="B649" s="35"/>
      <c r="C649" s="35"/>
      <c r="D649" s="35"/>
      <c r="E649" s="35"/>
      <c r="F649" s="35"/>
      <c r="G649" s="35"/>
      <c r="H649" s="36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</row>
    <row r="650" ht="15.75" customHeight="1">
      <c r="A650" s="42"/>
      <c r="B650" s="35"/>
      <c r="C650" s="35"/>
      <c r="D650" s="35"/>
      <c r="E650" s="35"/>
      <c r="F650" s="35"/>
      <c r="G650" s="35"/>
      <c r="H650" s="36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</row>
    <row r="651" ht="15.75" customHeight="1">
      <c r="A651" s="42"/>
      <c r="B651" s="35"/>
      <c r="C651" s="35"/>
      <c r="D651" s="35"/>
      <c r="E651" s="35"/>
      <c r="F651" s="35"/>
      <c r="G651" s="35"/>
      <c r="H651" s="36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</row>
    <row r="652" ht="15.75" customHeight="1">
      <c r="A652" s="42"/>
      <c r="B652" s="35"/>
      <c r="C652" s="35"/>
      <c r="D652" s="35"/>
      <c r="E652" s="35"/>
      <c r="F652" s="35"/>
      <c r="G652" s="35"/>
      <c r="H652" s="36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</row>
    <row r="653" ht="15.75" customHeight="1">
      <c r="A653" s="42"/>
      <c r="B653" s="35"/>
      <c r="C653" s="35"/>
      <c r="D653" s="35"/>
      <c r="E653" s="35"/>
      <c r="F653" s="35"/>
      <c r="G653" s="35"/>
      <c r="H653" s="36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</row>
    <row r="654" ht="15.75" customHeight="1">
      <c r="A654" s="42"/>
      <c r="B654" s="35"/>
      <c r="C654" s="35"/>
      <c r="D654" s="35"/>
      <c r="E654" s="35"/>
      <c r="F654" s="35"/>
      <c r="G654" s="35"/>
      <c r="H654" s="36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</row>
    <row r="655" ht="15.75" customHeight="1">
      <c r="A655" s="42"/>
      <c r="B655" s="35"/>
      <c r="C655" s="35"/>
      <c r="D655" s="35"/>
      <c r="E655" s="35"/>
      <c r="F655" s="35"/>
      <c r="G655" s="35"/>
      <c r="H655" s="36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</row>
    <row r="656" ht="15.75" customHeight="1">
      <c r="A656" s="42"/>
      <c r="B656" s="35"/>
      <c r="C656" s="35"/>
      <c r="D656" s="35"/>
      <c r="E656" s="35"/>
      <c r="F656" s="35"/>
      <c r="G656" s="35"/>
      <c r="H656" s="36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</row>
    <row r="657" ht="15.75" customHeight="1">
      <c r="A657" s="42"/>
      <c r="B657" s="35"/>
      <c r="C657" s="35"/>
      <c r="D657" s="35"/>
      <c r="E657" s="35"/>
      <c r="F657" s="35"/>
      <c r="G657" s="35"/>
      <c r="H657" s="36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</row>
    <row r="658" ht="15.75" customHeight="1">
      <c r="A658" s="42"/>
      <c r="B658" s="35"/>
      <c r="C658" s="35"/>
      <c r="D658" s="35"/>
      <c r="E658" s="35"/>
      <c r="F658" s="35"/>
      <c r="G658" s="35"/>
      <c r="H658" s="36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</row>
    <row r="659" ht="15.75" customHeight="1">
      <c r="A659" s="42"/>
      <c r="B659" s="35"/>
      <c r="C659" s="35"/>
      <c r="D659" s="35"/>
      <c r="E659" s="35"/>
      <c r="F659" s="35"/>
      <c r="G659" s="35"/>
      <c r="H659" s="36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</row>
    <row r="660" ht="15.75" customHeight="1">
      <c r="A660" s="42"/>
      <c r="B660" s="35"/>
      <c r="C660" s="35"/>
      <c r="D660" s="35"/>
      <c r="E660" s="35"/>
      <c r="F660" s="35"/>
      <c r="G660" s="35"/>
      <c r="H660" s="36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</row>
    <row r="661" ht="15.75" customHeight="1">
      <c r="A661" s="42"/>
      <c r="B661" s="35"/>
      <c r="C661" s="35"/>
      <c r="D661" s="35"/>
      <c r="E661" s="35"/>
      <c r="F661" s="35"/>
      <c r="G661" s="35"/>
      <c r="H661" s="36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</row>
    <row r="662" ht="15.75" customHeight="1">
      <c r="A662" s="42"/>
      <c r="B662" s="35"/>
      <c r="C662" s="35"/>
      <c r="D662" s="35"/>
      <c r="E662" s="35"/>
      <c r="F662" s="35"/>
      <c r="G662" s="35"/>
      <c r="H662" s="36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</row>
    <row r="663" ht="15.75" customHeight="1">
      <c r="A663" s="42"/>
      <c r="B663" s="35"/>
      <c r="C663" s="35"/>
      <c r="D663" s="35"/>
      <c r="E663" s="35"/>
      <c r="F663" s="35"/>
      <c r="G663" s="35"/>
      <c r="H663" s="36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</row>
    <row r="664" ht="15.75" customHeight="1">
      <c r="A664" s="42"/>
      <c r="B664" s="35"/>
      <c r="C664" s="35"/>
      <c r="D664" s="35"/>
      <c r="E664" s="35"/>
      <c r="F664" s="35"/>
      <c r="G664" s="35"/>
      <c r="H664" s="36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</row>
    <row r="665" ht="15.75" customHeight="1">
      <c r="A665" s="42"/>
      <c r="B665" s="35"/>
      <c r="C665" s="35"/>
      <c r="D665" s="35"/>
      <c r="E665" s="35"/>
      <c r="F665" s="35"/>
      <c r="G665" s="35"/>
      <c r="H665" s="36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</row>
    <row r="666" ht="15.75" customHeight="1">
      <c r="A666" s="42"/>
      <c r="B666" s="35"/>
      <c r="C666" s="35"/>
      <c r="D666" s="35"/>
      <c r="E666" s="35"/>
      <c r="F666" s="35"/>
      <c r="G666" s="35"/>
      <c r="H666" s="36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</row>
    <row r="667" ht="15.75" customHeight="1">
      <c r="A667" s="42"/>
      <c r="B667" s="35"/>
      <c r="C667" s="35"/>
      <c r="D667" s="35"/>
      <c r="E667" s="35"/>
      <c r="F667" s="35"/>
      <c r="G667" s="35"/>
      <c r="H667" s="36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</row>
    <row r="668" ht="15.75" customHeight="1">
      <c r="A668" s="42"/>
      <c r="B668" s="35"/>
      <c r="C668" s="35"/>
      <c r="D668" s="35"/>
      <c r="E668" s="35"/>
      <c r="F668" s="35"/>
      <c r="G668" s="35"/>
      <c r="H668" s="36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</row>
    <row r="669" ht="15.75" customHeight="1">
      <c r="A669" s="42"/>
      <c r="B669" s="35"/>
      <c r="C669" s="35"/>
      <c r="D669" s="35"/>
      <c r="E669" s="35"/>
      <c r="F669" s="35"/>
      <c r="G669" s="35"/>
      <c r="H669" s="36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</row>
    <row r="670" ht="15.75" customHeight="1">
      <c r="A670" s="42"/>
      <c r="B670" s="35"/>
      <c r="C670" s="35"/>
      <c r="D670" s="35"/>
      <c r="E670" s="35"/>
      <c r="F670" s="35"/>
      <c r="G670" s="35"/>
      <c r="H670" s="36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</row>
    <row r="671" ht="15.75" customHeight="1">
      <c r="A671" s="42"/>
      <c r="B671" s="35"/>
      <c r="C671" s="35"/>
      <c r="D671" s="35"/>
      <c r="E671" s="35"/>
      <c r="F671" s="35"/>
      <c r="G671" s="35"/>
      <c r="H671" s="36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</row>
    <row r="672" ht="15.75" customHeight="1">
      <c r="A672" s="42"/>
      <c r="B672" s="35"/>
      <c r="C672" s="35"/>
      <c r="D672" s="35"/>
      <c r="E672" s="35"/>
      <c r="F672" s="35"/>
      <c r="G672" s="35"/>
      <c r="H672" s="36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</row>
    <row r="673" ht="15.75" customHeight="1">
      <c r="A673" s="42"/>
      <c r="B673" s="35"/>
      <c r="C673" s="35"/>
      <c r="D673" s="35"/>
      <c r="E673" s="35"/>
      <c r="F673" s="35"/>
      <c r="G673" s="35"/>
      <c r="H673" s="36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</row>
    <row r="674" ht="15.75" customHeight="1">
      <c r="A674" s="42"/>
      <c r="B674" s="35"/>
      <c r="C674" s="35"/>
      <c r="D674" s="35"/>
      <c r="E674" s="35"/>
      <c r="F674" s="35"/>
      <c r="G674" s="35"/>
      <c r="H674" s="36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</row>
    <row r="675" ht="15.75" customHeight="1">
      <c r="A675" s="42"/>
      <c r="B675" s="35"/>
      <c r="C675" s="35"/>
      <c r="D675" s="35"/>
      <c r="E675" s="35"/>
      <c r="F675" s="35"/>
      <c r="G675" s="35"/>
      <c r="H675" s="36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</row>
    <row r="676" ht="15.75" customHeight="1">
      <c r="A676" s="42"/>
      <c r="B676" s="35"/>
      <c r="C676" s="35"/>
      <c r="D676" s="35"/>
      <c r="E676" s="35"/>
      <c r="F676" s="35"/>
      <c r="G676" s="35"/>
      <c r="H676" s="36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</row>
    <row r="677" ht="15.75" customHeight="1">
      <c r="A677" s="42"/>
      <c r="B677" s="35"/>
      <c r="C677" s="35"/>
      <c r="D677" s="35"/>
      <c r="E677" s="35"/>
      <c r="F677" s="35"/>
      <c r="G677" s="35"/>
      <c r="H677" s="36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</row>
    <row r="678" ht="15.75" customHeight="1">
      <c r="A678" s="42"/>
      <c r="B678" s="35"/>
      <c r="C678" s="35"/>
      <c r="D678" s="35"/>
      <c r="E678" s="35"/>
      <c r="F678" s="35"/>
      <c r="G678" s="35"/>
      <c r="H678" s="36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</row>
    <row r="679" ht="15.75" customHeight="1">
      <c r="A679" s="42"/>
      <c r="B679" s="35"/>
      <c r="C679" s="35"/>
      <c r="D679" s="35"/>
      <c r="E679" s="35"/>
      <c r="F679" s="35"/>
      <c r="G679" s="35"/>
      <c r="H679" s="36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</row>
    <row r="680" ht="15.75" customHeight="1">
      <c r="A680" s="42"/>
      <c r="B680" s="35"/>
      <c r="C680" s="35"/>
      <c r="D680" s="35"/>
      <c r="E680" s="35"/>
      <c r="F680" s="35"/>
      <c r="G680" s="35"/>
      <c r="H680" s="36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</row>
    <row r="681" ht="15.75" customHeight="1">
      <c r="A681" s="42"/>
      <c r="B681" s="35"/>
      <c r="C681" s="35"/>
      <c r="D681" s="35"/>
      <c r="E681" s="35"/>
      <c r="F681" s="35"/>
      <c r="G681" s="35"/>
      <c r="H681" s="36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</row>
    <row r="682" ht="15.75" customHeight="1">
      <c r="A682" s="42"/>
      <c r="B682" s="35"/>
      <c r="C682" s="35"/>
      <c r="D682" s="35"/>
      <c r="E682" s="35"/>
      <c r="F682" s="35"/>
      <c r="G682" s="35"/>
      <c r="H682" s="36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</row>
    <row r="683" ht="15.75" customHeight="1">
      <c r="A683" s="42"/>
      <c r="B683" s="35"/>
      <c r="C683" s="35"/>
      <c r="D683" s="35"/>
      <c r="E683" s="35"/>
      <c r="F683" s="35"/>
      <c r="G683" s="35"/>
      <c r="H683" s="36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</row>
    <row r="684" ht="15.75" customHeight="1">
      <c r="A684" s="42"/>
      <c r="B684" s="35"/>
      <c r="C684" s="35"/>
      <c r="D684" s="35"/>
      <c r="E684" s="35"/>
      <c r="F684" s="35"/>
      <c r="G684" s="35"/>
      <c r="H684" s="36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</row>
    <row r="685" ht="15.75" customHeight="1">
      <c r="A685" s="42"/>
      <c r="B685" s="35"/>
      <c r="C685" s="35"/>
      <c r="D685" s="35"/>
      <c r="E685" s="35"/>
      <c r="F685" s="35"/>
      <c r="G685" s="35"/>
      <c r="H685" s="36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</row>
    <row r="686" ht="15.75" customHeight="1">
      <c r="A686" s="42"/>
      <c r="B686" s="35"/>
      <c r="C686" s="35"/>
      <c r="D686" s="35"/>
      <c r="E686" s="35"/>
      <c r="F686" s="35"/>
      <c r="G686" s="35"/>
      <c r="H686" s="36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</row>
    <row r="687" ht="15.75" customHeight="1">
      <c r="A687" s="42"/>
      <c r="B687" s="35"/>
      <c r="C687" s="35"/>
      <c r="D687" s="35"/>
      <c r="E687" s="35"/>
      <c r="F687" s="35"/>
      <c r="G687" s="35"/>
      <c r="H687" s="36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</row>
    <row r="688" ht="15.75" customHeight="1">
      <c r="A688" s="42"/>
      <c r="B688" s="35"/>
      <c r="C688" s="35"/>
      <c r="D688" s="35"/>
      <c r="E688" s="35"/>
      <c r="F688" s="35"/>
      <c r="G688" s="35"/>
      <c r="H688" s="36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</row>
    <row r="689" ht="15.75" customHeight="1">
      <c r="A689" s="42"/>
      <c r="B689" s="35"/>
      <c r="C689" s="35"/>
      <c r="D689" s="35"/>
      <c r="E689" s="35"/>
      <c r="F689" s="35"/>
      <c r="G689" s="35"/>
      <c r="H689" s="36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</row>
    <row r="690" ht="15.75" customHeight="1">
      <c r="A690" s="42"/>
      <c r="B690" s="35"/>
      <c r="C690" s="35"/>
      <c r="D690" s="35"/>
      <c r="E690" s="35"/>
      <c r="F690" s="35"/>
      <c r="G690" s="35"/>
      <c r="H690" s="36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</row>
    <row r="691" ht="15.75" customHeight="1">
      <c r="A691" s="42"/>
      <c r="B691" s="35"/>
      <c r="C691" s="35"/>
      <c r="D691" s="35"/>
      <c r="E691" s="35"/>
      <c r="F691" s="35"/>
      <c r="G691" s="35"/>
      <c r="H691" s="36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</row>
    <row r="692" ht="15.75" customHeight="1">
      <c r="A692" s="42"/>
      <c r="B692" s="35"/>
      <c r="C692" s="35"/>
      <c r="D692" s="35"/>
      <c r="E692" s="35"/>
      <c r="F692" s="35"/>
      <c r="G692" s="35"/>
      <c r="H692" s="36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</row>
    <row r="693" ht="15.75" customHeight="1">
      <c r="A693" s="42"/>
      <c r="B693" s="35"/>
      <c r="C693" s="35"/>
      <c r="D693" s="35"/>
      <c r="E693" s="35"/>
      <c r="F693" s="35"/>
      <c r="G693" s="35"/>
      <c r="H693" s="36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</row>
    <row r="694" ht="15.75" customHeight="1">
      <c r="A694" s="42"/>
      <c r="B694" s="35"/>
      <c r="C694" s="35"/>
      <c r="D694" s="35"/>
      <c r="E694" s="35"/>
      <c r="F694" s="35"/>
      <c r="G694" s="35"/>
      <c r="H694" s="36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</row>
    <row r="695" ht="15.75" customHeight="1">
      <c r="A695" s="42"/>
      <c r="B695" s="35"/>
      <c r="C695" s="35"/>
      <c r="D695" s="35"/>
      <c r="E695" s="35"/>
      <c r="F695" s="35"/>
      <c r="G695" s="35"/>
      <c r="H695" s="36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</row>
    <row r="696" ht="15.75" customHeight="1">
      <c r="A696" s="42"/>
      <c r="B696" s="35"/>
      <c r="C696" s="35"/>
      <c r="D696" s="35"/>
      <c r="E696" s="35"/>
      <c r="F696" s="35"/>
      <c r="G696" s="35"/>
      <c r="H696" s="36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</row>
    <row r="697" ht="15.75" customHeight="1">
      <c r="A697" s="42"/>
      <c r="B697" s="35"/>
      <c r="C697" s="35"/>
      <c r="D697" s="35"/>
      <c r="E697" s="35"/>
      <c r="F697" s="35"/>
      <c r="G697" s="35"/>
      <c r="H697" s="36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</row>
    <row r="698" ht="15.75" customHeight="1">
      <c r="A698" s="42"/>
      <c r="B698" s="35"/>
      <c r="C698" s="35"/>
      <c r="D698" s="35"/>
      <c r="E698" s="35"/>
      <c r="F698" s="35"/>
      <c r="G698" s="35"/>
      <c r="H698" s="36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</row>
    <row r="699" ht="15.75" customHeight="1">
      <c r="A699" s="42"/>
      <c r="B699" s="35"/>
      <c r="C699" s="35"/>
      <c r="D699" s="35"/>
      <c r="E699" s="35"/>
      <c r="F699" s="35"/>
      <c r="G699" s="35"/>
      <c r="H699" s="36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</row>
    <row r="700" ht="15.75" customHeight="1">
      <c r="A700" s="42"/>
      <c r="B700" s="35"/>
      <c r="C700" s="35"/>
      <c r="D700" s="35"/>
      <c r="E700" s="35"/>
      <c r="F700" s="35"/>
      <c r="G700" s="35"/>
      <c r="H700" s="36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</row>
    <row r="701" ht="15.75" customHeight="1">
      <c r="A701" s="42"/>
      <c r="B701" s="35"/>
      <c r="C701" s="35"/>
      <c r="D701" s="35"/>
      <c r="E701" s="35"/>
      <c r="F701" s="35"/>
      <c r="G701" s="35"/>
      <c r="H701" s="36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</row>
    <row r="702" ht="15.75" customHeight="1">
      <c r="A702" s="42"/>
      <c r="B702" s="35"/>
      <c r="C702" s="35"/>
      <c r="D702" s="35"/>
      <c r="E702" s="35"/>
      <c r="F702" s="35"/>
      <c r="G702" s="35"/>
      <c r="H702" s="36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</row>
    <row r="703" ht="15.75" customHeight="1">
      <c r="A703" s="42"/>
      <c r="B703" s="35"/>
      <c r="C703" s="35"/>
      <c r="D703" s="35"/>
      <c r="E703" s="35"/>
      <c r="F703" s="35"/>
      <c r="G703" s="35"/>
      <c r="H703" s="36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</row>
    <row r="704" ht="15.75" customHeight="1">
      <c r="A704" s="42"/>
      <c r="B704" s="35"/>
      <c r="C704" s="35"/>
      <c r="D704" s="35"/>
      <c r="E704" s="35"/>
      <c r="F704" s="35"/>
      <c r="G704" s="35"/>
      <c r="H704" s="36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</row>
    <row r="705" ht="15.75" customHeight="1">
      <c r="A705" s="42"/>
      <c r="B705" s="35"/>
      <c r="C705" s="35"/>
      <c r="D705" s="35"/>
      <c r="E705" s="35"/>
      <c r="F705" s="35"/>
      <c r="G705" s="35"/>
      <c r="H705" s="36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</row>
    <row r="706" ht="15.75" customHeight="1">
      <c r="A706" s="42"/>
      <c r="B706" s="35"/>
      <c r="C706" s="35"/>
      <c r="D706" s="35"/>
      <c r="E706" s="35"/>
      <c r="F706" s="35"/>
      <c r="G706" s="35"/>
      <c r="H706" s="36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</row>
    <row r="707" ht="15.75" customHeight="1">
      <c r="A707" s="42"/>
      <c r="B707" s="35"/>
      <c r="C707" s="35"/>
      <c r="D707" s="35"/>
      <c r="E707" s="35"/>
      <c r="F707" s="35"/>
      <c r="G707" s="35"/>
      <c r="H707" s="36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</row>
    <row r="708" ht="15.75" customHeight="1">
      <c r="A708" s="42"/>
      <c r="B708" s="35"/>
      <c r="C708" s="35"/>
      <c r="D708" s="35"/>
      <c r="E708" s="35"/>
      <c r="F708" s="35"/>
      <c r="G708" s="35"/>
      <c r="H708" s="36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</row>
    <row r="709" ht="15.75" customHeight="1">
      <c r="A709" s="42"/>
      <c r="B709" s="35"/>
      <c r="C709" s="35"/>
      <c r="D709" s="35"/>
      <c r="E709" s="35"/>
      <c r="F709" s="35"/>
      <c r="G709" s="35"/>
      <c r="H709" s="36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</row>
    <row r="710" ht="15.75" customHeight="1">
      <c r="A710" s="42"/>
      <c r="B710" s="35"/>
      <c r="C710" s="35"/>
      <c r="D710" s="35"/>
      <c r="E710" s="35"/>
      <c r="F710" s="35"/>
      <c r="G710" s="35"/>
      <c r="H710" s="36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</row>
    <row r="711" ht="15.75" customHeight="1">
      <c r="A711" s="42"/>
      <c r="B711" s="35"/>
      <c r="C711" s="35"/>
      <c r="D711" s="35"/>
      <c r="E711" s="35"/>
      <c r="F711" s="35"/>
      <c r="G711" s="35"/>
      <c r="H711" s="36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</row>
    <row r="712" ht="15.75" customHeight="1">
      <c r="A712" s="42"/>
      <c r="B712" s="35"/>
      <c r="C712" s="35"/>
      <c r="D712" s="35"/>
      <c r="E712" s="35"/>
      <c r="F712" s="35"/>
      <c r="G712" s="35"/>
      <c r="H712" s="36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</row>
    <row r="713" ht="15.75" customHeight="1">
      <c r="A713" s="42"/>
      <c r="B713" s="35"/>
      <c r="C713" s="35"/>
      <c r="D713" s="35"/>
      <c r="E713" s="35"/>
      <c r="F713" s="35"/>
      <c r="G713" s="35"/>
      <c r="H713" s="36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</row>
    <row r="714" ht="15.75" customHeight="1">
      <c r="A714" s="42"/>
      <c r="B714" s="35"/>
      <c r="C714" s="35"/>
      <c r="D714" s="35"/>
      <c r="E714" s="35"/>
      <c r="F714" s="35"/>
      <c r="G714" s="35"/>
      <c r="H714" s="36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</row>
    <row r="715" ht="15.75" customHeight="1">
      <c r="A715" s="42"/>
      <c r="B715" s="35"/>
      <c r="C715" s="35"/>
      <c r="D715" s="35"/>
      <c r="E715" s="35"/>
      <c r="F715" s="35"/>
      <c r="G715" s="35"/>
      <c r="H715" s="36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</row>
    <row r="716" ht="15.75" customHeight="1">
      <c r="A716" s="42"/>
      <c r="B716" s="35"/>
      <c r="C716" s="35"/>
      <c r="D716" s="35"/>
      <c r="E716" s="35"/>
      <c r="F716" s="35"/>
      <c r="G716" s="35"/>
      <c r="H716" s="36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</row>
    <row r="717" ht="15.75" customHeight="1">
      <c r="A717" s="42"/>
      <c r="B717" s="35"/>
      <c r="C717" s="35"/>
      <c r="D717" s="35"/>
      <c r="E717" s="35"/>
      <c r="F717" s="35"/>
      <c r="G717" s="35"/>
      <c r="H717" s="36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</row>
    <row r="718" ht="15.75" customHeight="1">
      <c r="A718" s="42"/>
      <c r="B718" s="35"/>
      <c r="C718" s="35"/>
      <c r="D718" s="35"/>
      <c r="E718" s="35"/>
      <c r="F718" s="35"/>
      <c r="G718" s="35"/>
      <c r="H718" s="36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</row>
    <row r="719" ht="15.75" customHeight="1">
      <c r="A719" s="42"/>
      <c r="B719" s="35"/>
      <c r="C719" s="35"/>
      <c r="D719" s="35"/>
      <c r="E719" s="35"/>
      <c r="F719" s="35"/>
      <c r="G719" s="35"/>
      <c r="H719" s="36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</row>
    <row r="720" ht="15.75" customHeight="1">
      <c r="A720" s="42"/>
      <c r="B720" s="35"/>
      <c r="C720" s="35"/>
      <c r="D720" s="35"/>
      <c r="E720" s="35"/>
      <c r="F720" s="35"/>
      <c r="G720" s="35"/>
      <c r="H720" s="36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</row>
    <row r="721" ht="15.75" customHeight="1">
      <c r="A721" s="42"/>
      <c r="B721" s="35"/>
      <c r="C721" s="35"/>
      <c r="D721" s="35"/>
      <c r="E721" s="35"/>
      <c r="F721" s="35"/>
      <c r="G721" s="35"/>
      <c r="H721" s="36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</row>
    <row r="722" ht="15.75" customHeight="1">
      <c r="A722" s="42"/>
      <c r="B722" s="35"/>
      <c r="C722" s="35"/>
      <c r="D722" s="35"/>
      <c r="E722" s="35"/>
      <c r="F722" s="35"/>
      <c r="G722" s="35"/>
      <c r="H722" s="36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</row>
    <row r="723" ht="15.75" customHeight="1">
      <c r="A723" s="42"/>
      <c r="B723" s="35"/>
      <c r="C723" s="35"/>
      <c r="D723" s="35"/>
      <c r="E723" s="35"/>
      <c r="F723" s="35"/>
      <c r="G723" s="35"/>
      <c r="H723" s="36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</row>
    <row r="724" ht="15.75" customHeight="1">
      <c r="A724" s="42"/>
      <c r="B724" s="35"/>
      <c r="C724" s="35"/>
      <c r="D724" s="35"/>
      <c r="E724" s="35"/>
      <c r="F724" s="35"/>
      <c r="G724" s="35"/>
      <c r="H724" s="36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</row>
    <row r="725" ht="15.75" customHeight="1">
      <c r="A725" s="42"/>
      <c r="B725" s="35"/>
      <c r="C725" s="35"/>
      <c r="D725" s="35"/>
      <c r="E725" s="35"/>
      <c r="F725" s="35"/>
      <c r="G725" s="35"/>
      <c r="H725" s="36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</row>
    <row r="726" ht="15.75" customHeight="1">
      <c r="A726" s="42"/>
      <c r="B726" s="35"/>
      <c r="C726" s="35"/>
      <c r="D726" s="35"/>
      <c r="E726" s="35"/>
      <c r="F726" s="35"/>
      <c r="G726" s="35"/>
      <c r="H726" s="36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</row>
    <row r="727" ht="15.75" customHeight="1">
      <c r="A727" s="42"/>
      <c r="B727" s="35"/>
      <c r="C727" s="35"/>
      <c r="D727" s="35"/>
      <c r="E727" s="35"/>
      <c r="F727" s="35"/>
      <c r="G727" s="35"/>
      <c r="H727" s="36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</row>
    <row r="728" ht="15.75" customHeight="1">
      <c r="A728" s="42"/>
      <c r="B728" s="35"/>
      <c r="C728" s="35"/>
      <c r="D728" s="35"/>
      <c r="E728" s="35"/>
      <c r="F728" s="35"/>
      <c r="G728" s="35"/>
      <c r="H728" s="36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</row>
    <row r="729" ht="15.75" customHeight="1">
      <c r="A729" s="42"/>
      <c r="B729" s="35"/>
      <c r="C729" s="35"/>
      <c r="D729" s="35"/>
      <c r="E729" s="35"/>
      <c r="F729" s="35"/>
      <c r="G729" s="35"/>
      <c r="H729" s="36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</row>
    <row r="730" ht="15.75" customHeight="1">
      <c r="A730" s="42"/>
      <c r="B730" s="35"/>
      <c r="C730" s="35"/>
      <c r="D730" s="35"/>
      <c r="E730" s="35"/>
      <c r="F730" s="35"/>
      <c r="G730" s="35"/>
      <c r="H730" s="36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</row>
    <row r="731" ht="15.75" customHeight="1">
      <c r="A731" s="42"/>
      <c r="B731" s="35"/>
      <c r="C731" s="35"/>
      <c r="D731" s="35"/>
      <c r="E731" s="35"/>
      <c r="F731" s="35"/>
      <c r="G731" s="35"/>
      <c r="H731" s="36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</row>
    <row r="732" ht="15.75" customHeight="1">
      <c r="A732" s="42"/>
      <c r="B732" s="35"/>
      <c r="C732" s="35"/>
      <c r="D732" s="35"/>
      <c r="E732" s="35"/>
      <c r="F732" s="35"/>
      <c r="G732" s="35"/>
      <c r="H732" s="36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</row>
    <row r="733" ht="15.75" customHeight="1">
      <c r="A733" s="42"/>
      <c r="B733" s="35"/>
      <c r="C733" s="35"/>
      <c r="D733" s="35"/>
      <c r="E733" s="35"/>
      <c r="F733" s="35"/>
      <c r="G733" s="35"/>
      <c r="H733" s="36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</row>
    <row r="734" ht="15.75" customHeight="1">
      <c r="A734" s="42"/>
      <c r="B734" s="35"/>
      <c r="C734" s="35"/>
      <c r="D734" s="35"/>
      <c r="E734" s="35"/>
      <c r="F734" s="35"/>
      <c r="G734" s="35"/>
      <c r="H734" s="36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</row>
    <row r="735" ht="15.75" customHeight="1">
      <c r="A735" s="42"/>
      <c r="B735" s="35"/>
      <c r="C735" s="35"/>
      <c r="D735" s="35"/>
      <c r="E735" s="35"/>
      <c r="F735" s="35"/>
      <c r="G735" s="35"/>
      <c r="H735" s="36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</row>
    <row r="736" ht="15.75" customHeight="1">
      <c r="A736" s="42"/>
      <c r="B736" s="35"/>
      <c r="C736" s="35"/>
      <c r="D736" s="35"/>
      <c r="E736" s="35"/>
      <c r="F736" s="35"/>
      <c r="G736" s="35"/>
      <c r="H736" s="36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</row>
    <row r="737" ht="15.75" customHeight="1">
      <c r="A737" s="42"/>
      <c r="B737" s="35"/>
      <c r="C737" s="35"/>
      <c r="D737" s="35"/>
      <c r="E737" s="35"/>
      <c r="F737" s="35"/>
      <c r="G737" s="35"/>
      <c r="H737" s="36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</row>
    <row r="738" ht="15.75" customHeight="1">
      <c r="A738" s="42"/>
      <c r="B738" s="35"/>
      <c r="C738" s="35"/>
      <c r="D738" s="35"/>
      <c r="E738" s="35"/>
      <c r="F738" s="35"/>
      <c r="G738" s="35"/>
      <c r="H738" s="36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</row>
    <row r="739" ht="15.75" customHeight="1">
      <c r="A739" s="42"/>
      <c r="B739" s="35"/>
      <c r="C739" s="35"/>
      <c r="D739" s="35"/>
      <c r="E739" s="35"/>
      <c r="F739" s="35"/>
      <c r="G739" s="35"/>
      <c r="H739" s="36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</row>
    <row r="740" ht="15.75" customHeight="1">
      <c r="A740" s="42"/>
      <c r="B740" s="35"/>
      <c r="C740" s="35"/>
      <c r="D740" s="35"/>
      <c r="E740" s="35"/>
      <c r="F740" s="35"/>
      <c r="G740" s="35"/>
      <c r="H740" s="36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</row>
    <row r="741" ht="15.75" customHeight="1">
      <c r="A741" s="42"/>
      <c r="B741" s="35"/>
      <c r="C741" s="35"/>
      <c r="D741" s="35"/>
      <c r="E741" s="35"/>
      <c r="F741" s="35"/>
      <c r="G741" s="35"/>
      <c r="H741" s="36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</row>
    <row r="742" ht="15.75" customHeight="1">
      <c r="A742" s="42"/>
      <c r="B742" s="35"/>
      <c r="C742" s="35"/>
      <c r="D742" s="35"/>
      <c r="E742" s="35"/>
      <c r="F742" s="35"/>
      <c r="G742" s="35"/>
      <c r="H742" s="36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</row>
    <row r="743" ht="15.75" customHeight="1">
      <c r="A743" s="42"/>
      <c r="B743" s="35"/>
      <c r="C743" s="35"/>
      <c r="D743" s="35"/>
      <c r="E743" s="35"/>
      <c r="F743" s="35"/>
      <c r="G743" s="35"/>
      <c r="H743" s="36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</row>
    <row r="744" ht="15.75" customHeight="1">
      <c r="A744" s="42"/>
      <c r="B744" s="35"/>
      <c r="C744" s="35"/>
      <c r="D744" s="35"/>
      <c r="E744" s="35"/>
      <c r="F744" s="35"/>
      <c r="G744" s="35"/>
      <c r="H744" s="36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</row>
    <row r="745" ht="15.75" customHeight="1">
      <c r="A745" s="42"/>
      <c r="B745" s="35"/>
      <c r="C745" s="35"/>
      <c r="D745" s="35"/>
      <c r="E745" s="35"/>
      <c r="F745" s="35"/>
      <c r="G745" s="35"/>
      <c r="H745" s="36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</row>
    <row r="746" ht="15.75" customHeight="1">
      <c r="A746" s="42"/>
      <c r="B746" s="35"/>
      <c r="C746" s="35"/>
      <c r="D746" s="35"/>
      <c r="E746" s="35"/>
      <c r="F746" s="35"/>
      <c r="G746" s="35"/>
      <c r="H746" s="36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</row>
    <row r="747" ht="15.75" customHeight="1">
      <c r="A747" s="42"/>
      <c r="B747" s="35"/>
      <c r="C747" s="35"/>
      <c r="D747" s="35"/>
      <c r="E747" s="35"/>
      <c r="F747" s="35"/>
      <c r="G747" s="35"/>
      <c r="H747" s="36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</row>
    <row r="748" ht="15.75" customHeight="1">
      <c r="A748" s="42"/>
      <c r="B748" s="35"/>
      <c r="C748" s="35"/>
      <c r="D748" s="35"/>
      <c r="E748" s="35"/>
      <c r="F748" s="35"/>
      <c r="G748" s="35"/>
      <c r="H748" s="36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</row>
    <row r="749" ht="15.75" customHeight="1">
      <c r="A749" s="42"/>
      <c r="B749" s="35"/>
      <c r="C749" s="35"/>
      <c r="D749" s="35"/>
      <c r="E749" s="35"/>
      <c r="F749" s="35"/>
      <c r="G749" s="35"/>
      <c r="H749" s="36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</row>
    <row r="750" ht="15.75" customHeight="1">
      <c r="A750" s="42"/>
      <c r="B750" s="35"/>
      <c r="C750" s="35"/>
      <c r="D750" s="35"/>
      <c r="E750" s="35"/>
      <c r="F750" s="35"/>
      <c r="G750" s="35"/>
      <c r="H750" s="36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</row>
    <row r="751" ht="15.75" customHeight="1">
      <c r="A751" s="42"/>
      <c r="B751" s="35"/>
      <c r="C751" s="35"/>
      <c r="D751" s="35"/>
      <c r="E751" s="35"/>
      <c r="F751" s="35"/>
      <c r="G751" s="35"/>
      <c r="H751" s="36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</row>
    <row r="752" ht="15.75" customHeight="1">
      <c r="A752" s="42"/>
      <c r="B752" s="35"/>
      <c r="C752" s="35"/>
      <c r="D752" s="35"/>
      <c r="E752" s="35"/>
      <c r="F752" s="35"/>
      <c r="G752" s="35"/>
      <c r="H752" s="36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</row>
    <row r="753" ht="15.75" customHeight="1">
      <c r="A753" s="42"/>
      <c r="B753" s="35"/>
      <c r="C753" s="35"/>
      <c r="D753" s="35"/>
      <c r="E753" s="35"/>
      <c r="F753" s="35"/>
      <c r="G753" s="35"/>
      <c r="H753" s="36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</row>
    <row r="754" ht="15.75" customHeight="1">
      <c r="A754" s="42"/>
      <c r="B754" s="35"/>
      <c r="C754" s="35"/>
      <c r="D754" s="35"/>
      <c r="E754" s="35"/>
      <c r="F754" s="35"/>
      <c r="G754" s="35"/>
      <c r="H754" s="36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</row>
    <row r="755" ht="15.75" customHeight="1">
      <c r="A755" s="42"/>
      <c r="B755" s="35"/>
      <c r="C755" s="35"/>
      <c r="D755" s="35"/>
      <c r="E755" s="35"/>
      <c r="F755" s="35"/>
      <c r="G755" s="35"/>
      <c r="H755" s="36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</row>
    <row r="756" ht="15.75" customHeight="1">
      <c r="A756" s="42"/>
      <c r="B756" s="35"/>
      <c r="C756" s="35"/>
      <c r="D756" s="35"/>
      <c r="E756" s="35"/>
      <c r="F756" s="35"/>
      <c r="G756" s="35"/>
      <c r="H756" s="36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</row>
    <row r="757" ht="15.75" customHeight="1">
      <c r="A757" s="42"/>
      <c r="B757" s="35"/>
      <c r="C757" s="35"/>
      <c r="D757" s="35"/>
      <c r="E757" s="35"/>
      <c r="F757" s="35"/>
      <c r="G757" s="35"/>
      <c r="H757" s="36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</row>
    <row r="758" ht="15.75" customHeight="1">
      <c r="A758" s="42"/>
      <c r="B758" s="35"/>
      <c r="C758" s="35"/>
      <c r="D758" s="35"/>
      <c r="E758" s="35"/>
      <c r="F758" s="35"/>
      <c r="G758" s="35"/>
      <c r="H758" s="36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</row>
    <row r="759" ht="15.75" customHeight="1">
      <c r="A759" s="42"/>
      <c r="B759" s="35"/>
      <c r="C759" s="35"/>
      <c r="D759" s="35"/>
      <c r="E759" s="35"/>
      <c r="F759" s="35"/>
      <c r="G759" s="35"/>
      <c r="H759" s="36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</row>
    <row r="760" ht="15.75" customHeight="1">
      <c r="A760" s="42"/>
      <c r="B760" s="35"/>
      <c r="C760" s="35"/>
      <c r="D760" s="35"/>
      <c r="E760" s="35"/>
      <c r="F760" s="35"/>
      <c r="G760" s="35"/>
      <c r="H760" s="36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</row>
    <row r="761" ht="15.75" customHeight="1">
      <c r="A761" s="42"/>
      <c r="B761" s="35"/>
      <c r="C761" s="35"/>
      <c r="D761" s="35"/>
      <c r="E761" s="35"/>
      <c r="F761" s="35"/>
      <c r="G761" s="35"/>
      <c r="H761" s="36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</row>
    <row r="762" ht="15.75" customHeight="1">
      <c r="A762" s="42"/>
      <c r="B762" s="35"/>
      <c r="C762" s="35"/>
      <c r="D762" s="35"/>
      <c r="E762" s="35"/>
      <c r="F762" s="35"/>
      <c r="G762" s="35"/>
      <c r="H762" s="36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</row>
    <row r="763" ht="15.75" customHeight="1">
      <c r="A763" s="42"/>
      <c r="B763" s="35"/>
      <c r="C763" s="35"/>
      <c r="D763" s="35"/>
      <c r="E763" s="35"/>
      <c r="F763" s="35"/>
      <c r="G763" s="35"/>
      <c r="H763" s="36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</row>
    <row r="764" ht="15.75" customHeight="1">
      <c r="A764" s="42"/>
      <c r="B764" s="35"/>
      <c r="C764" s="35"/>
      <c r="D764" s="35"/>
      <c r="E764" s="35"/>
      <c r="F764" s="35"/>
      <c r="G764" s="35"/>
      <c r="H764" s="36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</row>
    <row r="765" ht="15.75" customHeight="1">
      <c r="A765" s="42"/>
      <c r="B765" s="35"/>
      <c r="C765" s="35"/>
      <c r="D765" s="35"/>
      <c r="E765" s="35"/>
      <c r="F765" s="35"/>
      <c r="G765" s="35"/>
      <c r="H765" s="36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</row>
    <row r="766" ht="15.75" customHeight="1">
      <c r="A766" s="42"/>
      <c r="B766" s="35"/>
      <c r="C766" s="35"/>
      <c r="D766" s="35"/>
      <c r="E766" s="35"/>
      <c r="F766" s="35"/>
      <c r="G766" s="35"/>
      <c r="H766" s="36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</row>
    <row r="767" ht="15.75" customHeight="1">
      <c r="A767" s="42"/>
      <c r="B767" s="35"/>
      <c r="C767" s="35"/>
      <c r="D767" s="35"/>
      <c r="E767" s="35"/>
      <c r="F767" s="35"/>
      <c r="G767" s="35"/>
      <c r="H767" s="36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</row>
    <row r="768" ht="15.75" customHeight="1">
      <c r="A768" s="42"/>
      <c r="B768" s="35"/>
      <c r="C768" s="35"/>
      <c r="D768" s="35"/>
      <c r="E768" s="35"/>
      <c r="F768" s="35"/>
      <c r="G768" s="35"/>
      <c r="H768" s="36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</row>
    <row r="769" ht="15.75" customHeight="1">
      <c r="A769" s="42"/>
      <c r="B769" s="35"/>
      <c r="C769" s="35"/>
      <c r="D769" s="35"/>
      <c r="E769" s="35"/>
      <c r="F769" s="35"/>
      <c r="G769" s="35"/>
      <c r="H769" s="36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</row>
    <row r="770" ht="15.75" customHeight="1">
      <c r="A770" s="42"/>
      <c r="B770" s="35"/>
      <c r="C770" s="35"/>
      <c r="D770" s="35"/>
      <c r="E770" s="35"/>
      <c r="F770" s="35"/>
      <c r="G770" s="35"/>
      <c r="H770" s="36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</row>
    <row r="771" ht="15.75" customHeight="1">
      <c r="A771" s="42"/>
      <c r="B771" s="35"/>
      <c r="C771" s="35"/>
      <c r="D771" s="35"/>
      <c r="E771" s="35"/>
      <c r="F771" s="35"/>
      <c r="G771" s="35"/>
      <c r="H771" s="36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</row>
    <row r="772" ht="15.75" customHeight="1">
      <c r="A772" s="42"/>
      <c r="B772" s="35"/>
      <c r="C772" s="35"/>
      <c r="D772" s="35"/>
      <c r="E772" s="35"/>
      <c r="F772" s="35"/>
      <c r="G772" s="35"/>
      <c r="H772" s="36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</row>
    <row r="773" ht="15.75" customHeight="1">
      <c r="A773" s="42"/>
      <c r="B773" s="35"/>
      <c r="C773" s="35"/>
      <c r="D773" s="35"/>
      <c r="E773" s="35"/>
      <c r="F773" s="35"/>
      <c r="G773" s="35"/>
      <c r="H773" s="36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</row>
    <row r="774" ht="15.75" customHeight="1">
      <c r="A774" s="42"/>
      <c r="B774" s="35"/>
      <c r="C774" s="35"/>
      <c r="D774" s="35"/>
      <c r="E774" s="35"/>
      <c r="F774" s="35"/>
      <c r="G774" s="35"/>
      <c r="H774" s="36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</row>
    <row r="775" ht="15.75" customHeight="1">
      <c r="A775" s="42"/>
      <c r="B775" s="35"/>
      <c r="C775" s="35"/>
      <c r="D775" s="35"/>
      <c r="E775" s="35"/>
      <c r="F775" s="35"/>
      <c r="G775" s="35"/>
      <c r="H775" s="36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</row>
    <row r="776" ht="15.75" customHeight="1">
      <c r="A776" s="42"/>
      <c r="B776" s="35"/>
      <c r="C776" s="35"/>
      <c r="D776" s="35"/>
      <c r="E776" s="35"/>
      <c r="F776" s="35"/>
      <c r="G776" s="35"/>
      <c r="H776" s="36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</row>
    <row r="777" ht="15.75" customHeight="1">
      <c r="A777" s="42"/>
      <c r="B777" s="35"/>
      <c r="C777" s="35"/>
      <c r="D777" s="35"/>
      <c r="E777" s="35"/>
      <c r="F777" s="35"/>
      <c r="G777" s="35"/>
      <c r="H777" s="36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</row>
    <row r="778" ht="15.75" customHeight="1">
      <c r="A778" s="42"/>
      <c r="B778" s="35"/>
      <c r="C778" s="35"/>
      <c r="D778" s="35"/>
      <c r="E778" s="35"/>
      <c r="F778" s="35"/>
      <c r="G778" s="35"/>
      <c r="H778" s="36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</row>
    <row r="779" ht="15.75" customHeight="1">
      <c r="A779" s="42"/>
      <c r="B779" s="35"/>
      <c r="C779" s="35"/>
      <c r="D779" s="35"/>
      <c r="E779" s="35"/>
      <c r="F779" s="35"/>
      <c r="G779" s="35"/>
      <c r="H779" s="36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</row>
    <row r="780" ht="15.75" customHeight="1">
      <c r="A780" s="42"/>
      <c r="B780" s="35"/>
      <c r="C780" s="35"/>
      <c r="D780" s="35"/>
      <c r="E780" s="35"/>
      <c r="F780" s="35"/>
      <c r="G780" s="35"/>
      <c r="H780" s="36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</row>
    <row r="781" ht="15.75" customHeight="1">
      <c r="A781" s="42"/>
      <c r="B781" s="35"/>
      <c r="C781" s="35"/>
      <c r="D781" s="35"/>
      <c r="E781" s="35"/>
      <c r="F781" s="35"/>
      <c r="G781" s="35"/>
      <c r="H781" s="36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</row>
    <row r="782" ht="15.75" customHeight="1">
      <c r="A782" s="42"/>
      <c r="B782" s="35"/>
      <c r="C782" s="35"/>
      <c r="D782" s="35"/>
      <c r="E782" s="35"/>
      <c r="F782" s="35"/>
      <c r="G782" s="35"/>
      <c r="H782" s="36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</row>
    <row r="783" ht="15.75" customHeight="1">
      <c r="A783" s="42"/>
      <c r="B783" s="35"/>
      <c r="C783" s="35"/>
      <c r="D783" s="35"/>
      <c r="E783" s="35"/>
      <c r="F783" s="35"/>
      <c r="G783" s="35"/>
      <c r="H783" s="36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</row>
    <row r="784" ht="15.75" customHeight="1">
      <c r="A784" s="42"/>
      <c r="B784" s="35"/>
      <c r="C784" s="35"/>
      <c r="D784" s="35"/>
      <c r="E784" s="35"/>
      <c r="F784" s="35"/>
      <c r="G784" s="35"/>
      <c r="H784" s="36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</row>
    <row r="785" ht="15.75" customHeight="1">
      <c r="A785" s="42"/>
      <c r="B785" s="35"/>
      <c r="C785" s="35"/>
      <c r="D785" s="35"/>
      <c r="E785" s="35"/>
      <c r="F785" s="35"/>
      <c r="G785" s="35"/>
      <c r="H785" s="36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</row>
    <row r="786" ht="15.75" customHeight="1">
      <c r="A786" s="42"/>
      <c r="B786" s="35"/>
      <c r="C786" s="35"/>
      <c r="D786" s="35"/>
      <c r="E786" s="35"/>
      <c r="F786" s="35"/>
      <c r="G786" s="35"/>
      <c r="H786" s="36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</row>
    <row r="787" ht="15.75" customHeight="1">
      <c r="A787" s="42"/>
      <c r="B787" s="35"/>
      <c r="C787" s="35"/>
      <c r="D787" s="35"/>
      <c r="E787" s="35"/>
      <c r="F787" s="35"/>
      <c r="G787" s="35"/>
      <c r="H787" s="36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</row>
    <row r="788" ht="15.75" customHeight="1">
      <c r="A788" s="42"/>
      <c r="B788" s="35"/>
      <c r="C788" s="35"/>
      <c r="D788" s="35"/>
      <c r="E788" s="35"/>
      <c r="F788" s="35"/>
      <c r="G788" s="35"/>
      <c r="H788" s="36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</row>
    <row r="789" ht="15.75" customHeight="1">
      <c r="A789" s="42"/>
      <c r="B789" s="35"/>
      <c r="C789" s="35"/>
      <c r="D789" s="35"/>
      <c r="E789" s="35"/>
      <c r="F789" s="35"/>
      <c r="G789" s="35"/>
      <c r="H789" s="36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</row>
    <row r="790" ht="15.75" customHeight="1">
      <c r="A790" s="42"/>
      <c r="B790" s="35"/>
      <c r="C790" s="35"/>
      <c r="D790" s="35"/>
      <c r="E790" s="35"/>
      <c r="F790" s="35"/>
      <c r="G790" s="35"/>
      <c r="H790" s="36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</row>
    <row r="791" ht="15.75" customHeight="1">
      <c r="A791" s="42"/>
      <c r="B791" s="35"/>
      <c r="C791" s="35"/>
      <c r="D791" s="35"/>
      <c r="E791" s="35"/>
      <c r="F791" s="35"/>
      <c r="G791" s="35"/>
      <c r="H791" s="36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</row>
    <row r="792" ht="15.75" customHeight="1">
      <c r="A792" s="42"/>
      <c r="B792" s="35"/>
      <c r="C792" s="35"/>
      <c r="D792" s="35"/>
      <c r="E792" s="35"/>
      <c r="F792" s="35"/>
      <c r="G792" s="35"/>
      <c r="H792" s="36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</row>
    <row r="793" ht="15.75" customHeight="1">
      <c r="A793" s="42"/>
      <c r="B793" s="35"/>
      <c r="C793" s="35"/>
      <c r="D793" s="35"/>
      <c r="E793" s="35"/>
      <c r="F793" s="35"/>
      <c r="G793" s="35"/>
      <c r="H793" s="36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</row>
    <row r="794" ht="15.75" customHeight="1">
      <c r="A794" s="42"/>
      <c r="B794" s="35"/>
      <c r="C794" s="35"/>
      <c r="D794" s="35"/>
      <c r="E794" s="35"/>
      <c r="F794" s="35"/>
      <c r="G794" s="35"/>
      <c r="H794" s="36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</row>
    <row r="795" ht="15.75" customHeight="1">
      <c r="A795" s="42"/>
      <c r="B795" s="35"/>
      <c r="C795" s="35"/>
      <c r="D795" s="35"/>
      <c r="E795" s="35"/>
      <c r="F795" s="35"/>
      <c r="G795" s="35"/>
      <c r="H795" s="36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</row>
    <row r="796" ht="15.75" customHeight="1">
      <c r="A796" s="42"/>
      <c r="B796" s="35"/>
      <c r="C796" s="35"/>
      <c r="D796" s="35"/>
      <c r="E796" s="35"/>
      <c r="F796" s="35"/>
      <c r="G796" s="35"/>
      <c r="H796" s="36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</row>
    <row r="797" ht="15.75" customHeight="1">
      <c r="A797" s="42"/>
      <c r="B797" s="35"/>
      <c r="C797" s="35"/>
      <c r="D797" s="35"/>
      <c r="E797" s="35"/>
      <c r="F797" s="35"/>
      <c r="G797" s="35"/>
      <c r="H797" s="36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</row>
    <row r="798" ht="15.75" customHeight="1">
      <c r="A798" s="42"/>
      <c r="B798" s="35"/>
      <c r="C798" s="35"/>
      <c r="D798" s="35"/>
      <c r="E798" s="35"/>
      <c r="F798" s="35"/>
      <c r="G798" s="35"/>
      <c r="H798" s="36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</row>
    <row r="799" ht="15.75" customHeight="1">
      <c r="A799" s="42"/>
      <c r="B799" s="35"/>
      <c r="C799" s="35"/>
      <c r="D799" s="35"/>
      <c r="E799" s="35"/>
      <c r="F799" s="35"/>
      <c r="G799" s="35"/>
      <c r="H799" s="36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</row>
    <row r="800" ht="15.75" customHeight="1">
      <c r="A800" s="42"/>
      <c r="B800" s="35"/>
      <c r="C800" s="35"/>
      <c r="D800" s="35"/>
      <c r="E800" s="35"/>
      <c r="F800" s="35"/>
      <c r="G800" s="35"/>
      <c r="H800" s="36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</row>
    <row r="801" ht="15.75" customHeight="1">
      <c r="A801" s="42"/>
      <c r="B801" s="35"/>
      <c r="C801" s="35"/>
      <c r="D801" s="35"/>
      <c r="E801" s="35"/>
      <c r="F801" s="35"/>
      <c r="G801" s="35"/>
      <c r="H801" s="36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</row>
    <row r="802" ht="15.75" customHeight="1">
      <c r="A802" s="42"/>
      <c r="B802" s="35"/>
      <c r="C802" s="35"/>
      <c r="D802" s="35"/>
      <c r="E802" s="35"/>
      <c r="F802" s="35"/>
      <c r="G802" s="35"/>
      <c r="H802" s="36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</row>
    <row r="803" ht="15.75" customHeight="1">
      <c r="A803" s="42"/>
      <c r="B803" s="35"/>
      <c r="C803" s="35"/>
      <c r="D803" s="35"/>
      <c r="E803" s="35"/>
      <c r="F803" s="35"/>
      <c r="G803" s="35"/>
      <c r="H803" s="36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</row>
    <row r="804" ht="15.75" customHeight="1">
      <c r="A804" s="42"/>
      <c r="B804" s="35"/>
      <c r="C804" s="35"/>
      <c r="D804" s="35"/>
      <c r="E804" s="35"/>
      <c r="F804" s="35"/>
      <c r="G804" s="35"/>
      <c r="H804" s="36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</row>
    <row r="805" ht="15.75" customHeight="1">
      <c r="A805" s="42"/>
      <c r="B805" s="35"/>
      <c r="C805" s="35"/>
      <c r="D805" s="35"/>
      <c r="E805" s="35"/>
      <c r="F805" s="35"/>
      <c r="G805" s="35"/>
      <c r="H805" s="36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</row>
    <row r="806" ht="15.75" customHeight="1">
      <c r="A806" s="42"/>
      <c r="B806" s="35"/>
      <c r="C806" s="35"/>
      <c r="D806" s="35"/>
      <c r="E806" s="35"/>
      <c r="F806" s="35"/>
      <c r="G806" s="35"/>
      <c r="H806" s="36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</row>
    <row r="807" ht="15.75" customHeight="1">
      <c r="A807" s="42"/>
      <c r="B807" s="35"/>
      <c r="C807" s="35"/>
      <c r="D807" s="35"/>
      <c r="E807" s="35"/>
      <c r="F807" s="35"/>
      <c r="G807" s="35"/>
      <c r="H807" s="36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</row>
    <row r="808" ht="15.75" customHeight="1">
      <c r="A808" s="42"/>
      <c r="B808" s="35"/>
      <c r="C808" s="35"/>
      <c r="D808" s="35"/>
      <c r="E808" s="35"/>
      <c r="F808" s="35"/>
      <c r="G808" s="35"/>
      <c r="H808" s="36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</row>
    <row r="809" ht="15.75" customHeight="1">
      <c r="A809" s="42"/>
      <c r="B809" s="35"/>
      <c r="C809" s="35"/>
      <c r="D809" s="35"/>
      <c r="E809" s="35"/>
      <c r="F809" s="35"/>
      <c r="G809" s="35"/>
      <c r="H809" s="36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</row>
    <row r="810" ht="15.75" customHeight="1">
      <c r="A810" s="42"/>
      <c r="B810" s="35"/>
      <c r="C810" s="35"/>
      <c r="D810" s="35"/>
      <c r="E810" s="35"/>
      <c r="F810" s="35"/>
      <c r="G810" s="35"/>
      <c r="H810" s="36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</row>
    <row r="811" ht="15.75" customHeight="1">
      <c r="A811" s="42"/>
      <c r="B811" s="35"/>
      <c r="C811" s="35"/>
      <c r="D811" s="35"/>
      <c r="E811" s="35"/>
      <c r="F811" s="35"/>
      <c r="G811" s="35"/>
      <c r="H811" s="36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</row>
    <row r="812" ht="15.75" customHeight="1">
      <c r="A812" s="42"/>
      <c r="B812" s="35"/>
      <c r="C812" s="35"/>
      <c r="D812" s="35"/>
      <c r="E812" s="35"/>
      <c r="F812" s="35"/>
      <c r="G812" s="35"/>
      <c r="H812" s="36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</row>
    <row r="813" ht="15.75" customHeight="1">
      <c r="A813" s="42"/>
      <c r="B813" s="35"/>
      <c r="C813" s="35"/>
      <c r="D813" s="35"/>
      <c r="E813" s="35"/>
      <c r="F813" s="35"/>
      <c r="G813" s="35"/>
      <c r="H813" s="36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</row>
    <row r="814" ht="15.75" customHeight="1">
      <c r="A814" s="42"/>
      <c r="B814" s="35"/>
      <c r="C814" s="35"/>
      <c r="D814" s="35"/>
      <c r="E814" s="35"/>
      <c r="F814" s="35"/>
      <c r="G814" s="35"/>
      <c r="H814" s="36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</row>
    <row r="815" ht="15.75" customHeight="1">
      <c r="A815" s="42"/>
      <c r="B815" s="35"/>
      <c r="C815" s="35"/>
      <c r="D815" s="35"/>
      <c r="E815" s="35"/>
      <c r="F815" s="35"/>
      <c r="G815" s="35"/>
      <c r="H815" s="36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</row>
    <row r="816" ht="15.75" customHeight="1">
      <c r="A816" s="42"/>
      <c r="B816" s="35"/>
      <c r="C816" s="35"/>
      <c r="D816" s="35"/>
      <c r="E816" s="35"/>
      <c r="F816" s="35"/>
      <c r="G816" s="35"/>
      <c r="H816" s="36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</row>
    <row r="817" ht="15.75" customHeight="1">
      <c r="A817" s="42"/>
      <c r="B817" s="35"/>
      <c r="C817" s="35"/>
      <c r="D817" s="35"/>
      <c r="E817" s="35"/>
      <c r="F817" s="35"/>
      <c r="G817" s="35"/>
      <c r="H817" s="36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</row>
    <row r="818" ht="15.75" customHeight="1">
      <c r="A818" s="42"/>
      <c r="B818" s="35"/>
      <c r="C818" s="35"/>
      <c r="D818" s="35"/>
      <c r="E818" s="35"/>
      <c r="F818" s="35"/>
      <c r="G818" s="35"/>
      <c r="H818" s="36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</row>
    <row r="819" ht="15.75" customHeight="1">
      <c r="A819" s="42"/>
      <c r="B819" s="35"/>
      <c r="C819" s="35"/>
      <c r="D819" s="35"/>
      <c r="E819" s="35"/>
      <c r="F819" s="35"/>
      <c r="G819" s="35"/>
      <c r="H819" s="36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</row>
    <row r="820" ht="15.75" customHeight="1">
      <c r="A820" s="42"/>
      <c r="B820" s="35"/>
      <c r="C820" s="35"/>
      <c r="D820" s="35"/>
      <c r="E820" s="35"/>
      <c r="F820" s="35"/>
      <c r="G820" s="35"/>
      <c r="H820" s="36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</row>
    <row r="821" ht="15.75" customHeight="1">
      <c r="A821" s="42"/>
      <c r="B821" s="35"/>
      <c r="C821" s="35"/>
      <c r="D821" s="35"/>
      <c r="E821" s="35"/>
      <c r="F821" s="35"/>
      <c r="G821" s="35"/>
      <c r="H821" s="36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</row>
    <row r="822" ht="15.75" customHeight="1">
      <c r="A822" s="42"/>
      <c r="B822" s="35"/>
      <c r="C822" s="35"/>
      <c r="D822" s="35"/>
      <c r="E822" s="35"/>
      <c r="F822" s="35"/>
      <c r="G822" s="35"/>
      <c r="H822" s="36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</row>
    <row r="823" ht="15.75" customHeight="1">
      <c r="A823" s="42"/>
      <c r="B823" s="35"/>
      <c r="C823" s="35"/>
      <c r="D823" s="35"/>
      <c r="E823" s="35"/>
      <c r="F823" s="35"/>
      <c r="G823" s="35"/>
      <c r="H823" s="36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</row>
    <row r="824" ht="15.75" customHeight="1">
      <c r="A824" s="42"/>
      <c r="B824" s="35"/>
      <c r="C824" s="35"/>
      <c r="D824" s="35"/>
      <c r="E824" s="35"/>
      <c r="F824" s="35"/>
      <c r="G824" s="35"/>
      <c r="H824" s="36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</row>
    <row r="825" ht="15.75" customHeight="1">
      <c r="A825" s="42"/>
      <c r="B825" s="35"/>
      <c r="C825" s="35"/>
      <c r="D825" s="35"/>
      <c r="E825" s="35"/>
      <c r="F825" s="35"/>
      <c r="G825" s="35"/>
      <c r="H825" s="36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</row>
    <row r="826" ht="15.75" customHeight="1">
      <c r="A826" s="42"/>
      <c r="B826" s="35"/>
      <c r="C826" s="35"/>
      <c r="D826" s="35"/>
      <c r="E826" s="35"/>
      <c r="F826" s="35"/>
      <c r="G826" s="35"/>
      <c r="H826" s="36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</row>
    <row r="827" ht="15.75" customHeight="1">
      <c r="A827" s="42"/>
      <c r="B827" s="35"/>
      <c r="C827" s="35"/>
      <c r="D827" s="35"/>
      <c r="E827" s="35"/>
      <c r="F827" s="35"/>
      <c r="G827" s="35"/>
      <c r="H827" s="36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</row>
    <row r="828" ht="15.75" customHeight="1">
      <c r="A828" s="42"/>
      <c r="B828" s="35"/>
      <c r="C828" s="35"/>
      <c r="D828" s="35"/>
      <c r="E828" s="35"/>
      <c r="F828" s="35"/>
      <c r="G828" s="35"/>
      <c r="H828" s="36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</row>
    <row r="829" ht="15.75" customHeight="1">
      <c r="A829" s="42"/>
      <c r="B829" s="35"/>
      <c r="C829" s="35"/>
      <c r="D829" s="35"/>
      <c r="E829" s="35"/>
      <c r="F829" s="35"/>
      <c r="G829" s="35"/>
      <c r="H829" s="36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</row>
    <row r="830" ht="15.75" customHeight="1">
      <c r="A830" s="42"/>
      <c r="B830" s="35"/>
      <c r="C830" s="35"/>
      <c r="D830" s="35"/>
      <c r="E830" s="35"/>
      <c r="F830" s="35"/>
      <c r="G830" s="35"/>
      <c r="H830" s="36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</row>
    <row r="831" ht="15.75" customHeight="1">
      <c r="A831" s="42"/>
      <c r="B831" s="35"/>
      <c r="C831" s="35"/>
      <c r="D831" s="35"/>
      <c r="E831" s="35"/>
      <c r="F831" s="35"/>
      <c r="G831" s="35"/>
      <c r="H831" s="36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</row>
    <row r="832" ht="15.75" customHeight="1">
      <c r="A832" s="42"/>
      <c r="B832" s="35"/>
      <c r="C832" s="35"/>
      <c r="D832" s="35"/>
      <c r="E832" s="35"/>
      <c r="F832" s="35"/>
      <c r="G832" s="35"/>
      <c r="H832" s="36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</row>
    <row r="833" ht="15.75" customHeight="1">
      <c r="A833" s="42"/>
      <c r="B833" s="35"/>
      <c r="C833" s="35"/>
      <c r="D833" s="35"/>
      <c r="E833" s="35"/>
      <c r="F833" s="35"/>
      <c r="G833" s="35"/>
      <c r="H833" s="36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</row>
    <row r="834" ht="15.75" customHeight="1">
      <c r="A834" s="42"/>
      <c r="B834" s="35"/>
      <c r="C834" s="35"/>
      <c r="D834" s="35"/>
      <c r="E834" s="35"/>
      <c r="F834" s="35"/>
      <c r="G834" s="35"/>
      <c r="H834" s="36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</row>
    <row r="835" ht="15.75" customHeight="1">
      <c r="A835" s="42"/>
      <c r="B835" s="35"/>
      <c r="C835" s="35"/>
      <c r="D835" s="35"/>
      <c r="E835" s="35"/>
      <c r="F835" s="35"/>
      <c r="G835" s="35"/>
      <c r="H835" s="36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</row>
    <row r="836" ht="15.75" customHeight="1">
      <c r="A836" s="42"/>
      <c r="B836" s="35"/>
      <c r="C836" s="35"/>
      <c r="D836" s="35"/>
      <c r="E836" s="35"/>
      <c r="F836" s="35"/>
      <c r="G836" s="35"/>
      <c r="H836" s="36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</row>
    <row r="837" ht="15.75" customHeight="1">
      <c r="A837" s="42"/>
      <c r="B837" s="35"/>
      <c r="C837" s="35"/>
      <c r="D837" s="35"/>
      <c r="E837" s="35"/>
      <c r="F837" s="35"/>
      <c r="G837" s="35"/>
      <c r="H837" s="36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</row>
    <row r="838" ht="15.75" customHeight="1">
      <c r="A838" s="42"/>
      <c r="B838" s="35"/>
      <c r="C838" s="35"/>
      <c r="D838" s="35"/>
      <c r="E838" s="35"/>
      <c r="F838" s="35"/>
      <c r="G838" s="35"/>
      <c r="H838" s="36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</row>
    <row r="839" ht="15.75" customHeight="1">
      <c r="A839" s="42"/>
      <c r="B839" s="35"/>
      <c r="C839" s="35"/>
      <c r="D839" s="35"/>
      <c r="E839" s="35"/>
      <c r="F839" s="35"/>
      <c r="G839" s="35"/>
      <c r="H839" s="36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</row>
    <row r="840" ht="15.75" customHeight="1">
      <c r="A840" s="42"/>
      <c r="B840" s="35"/>
      <c r="C840" s="35"/>
      <c r="D840" s="35"/>
      <c r="E840" s="35"/>
      <c r="F840" s="35"/>
      <c r="G840" s="35"/>
      <c r="H840" s="36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</row>
    <row r="841" ht="15.75" customHeight="1">
      <c r="A841" s="42"/>
      <c r="B841" s="35"/>
      <c r="C841" s="35"/>
      <c r="D841" s="35"/>
      <c r="E841" s="35"/>
      <c r="F841" s="35"/>
      <c r="G841" s="35"/>
      <c r="H841" s="36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</row>
    <row r="842" ht="15.75" customHeight="1">
      <c r="A842" s="42"/>
      <c r="B842" s="35"/>
      <c r="C842" s="35"/>
      <c r="D842" s="35"/>
      <c r="E842" s="35"/>
      <c r="F842" s="35"/>
      <c r="G842" s="35"/>
      <c r="H842" s="36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</row>
    <row r="843" ht="15.75" customHeight="1">
      <c r="A843" s="42"/>
      <c r="B843" s="35"/>
      <c r="C843" s="35"/>
      <c r="D843" s="35"/>
      <c r="E843" s="35"/>
      <c r="F843" s="35"/>
      <c r="G843" s="35"/>
      <c r="H843" s="36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</row>
    <row r="844" ht="15.75" customHeight="1">
      <c r="A844" s="42"/>
      <c r="B844" s="35"/>
      <c r="C844" s="35"/>
      <c r="D844" s="35"/>
      <c r="E844" s="35"/>
      <c r="F844" s="35"/>
      <c r="G844" s="35"/>
      <c r="H844" s="36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</row>
    <row r="845" ht="15.75" customHeight="1">
      <c r="A845" s="42"/>
      <c r="B845" s="35"/>
      <c r="C845" s="35"/>
      <c r="D845" s="35"/>
      <c r="E845" s="35"/>
      <c r="F845" s="35"/>
      <c r="G845" s="35"/>
      <c r="H845" s="36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</row>
    <row r="846" ht="15.75" customHeight="1">
      <c r="A846" s="42"/>
      <c r="B846" s="35"/>
      <c r="C846" s="35"/>
      <c r="D846" s="35"/>
      <c r="E846" s="35"/>
      <c r="F846" s="35"/>
      <c r="G846" s="35"/>
      <c r="H846" s="36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</row>
    <row r="847" ht="15.75" customHeight="1">
      <c r="A847" s="42"/>
      <c r="B847" s="35"/>
      <c r="C847" s="35"/>
      <c r="D847" s="35"/>
      <c r="E847" s="35"/>
      <c r="F847" s="35"/>
      <c r="G847" s="35"/>
      <c r="H847" s="36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</row>
    <row r="848" ht="15.75" customHeight="1">
      <c r="A848" s="42"/>
      <c r="B848" s="35"/>
      <c r="C848" s="35"/>
      <c r="D848" s="35"/>
      <c r="E848" s="35"/>
      <c r="F848" s="35"/>
      <c r="G848" s="35"/>
      <c r="H848" s="36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</row>
    <row r="849" ht="15.75" customHeight="1">
      <c r="A849" s="42"/>
      <c r="B849" s="35"/>
      <c r="C849" s="35"/>
      <c r="D849" s="35"/>
      <c r="E849" s="35"/>
      <c r="F849" s="35"/>
      <c r="G849" s="35"/>
      <c r="H849" s="36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</row>
    <row r="850" ht="15.75" customHeight="1">
      <c r="A850" s="42"/>
      <c r="B850" s="35"/>
      <c r="C850" s="35"/>
      <c r="D850" s="35"/>
      <c r="E850" s="35"/>
      <c r="F850" s="35"/>
      <c r="G850" s="35"/>
      <c r="H850" s="36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</row>
    <row r="851" ht="15.75" customHeight="1">
      <c r="A851" s="42"/>
      <c r="B851" s="35"/>
      <c r="C851" s="35"/>
      <c r="D851" s="35"/>
      <c r="E851" s="35"/>
      <c r="F851" s="35"/>
      <c r="G851" s="35"/>
      <c r="H851" s="36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</row>
    <row r="852" ht="15.75" customHeight="1">
      <c r="A852" s="42"/>
      <c r="B852" s="35"/>
      <c r="C852" s="35"/>
      <c r="D852" s="35"/>
      <c r="E852" s="35"/>
      <c r="F852" s="35"/>
      <c r="G852" s="35"/>
      <c r="H852" s="36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</row>
    <row r="853" ht="15.75" customHeight="1">
      <c r="A853" s="42"/>
      <c r="B853" s="35"/>
      <c r="C853" s="35"/>
      <c r="D853" s="35"/>
      <c r="E853" s="35"/>
      <c r="F853" s="35"/>
      <c r="G853" s="35"/>
      <c r="H853" s="36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</row>
    <row r="854" ht="15.75" customHeight="1">
      <c r="A854" s="42"/>
      <c r="B854" s="35"/>
      <c r="C854" s="35"/>
      <c r="D854" s="35"/>
      <c r="E854" s="35"/>
      <c r="F854" s="35"/>
      <c r="G854" s="35"/>
      <c r="H854" s="36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</row>
    <row r="855" ht="15.75" customHeight="1">
      <c r="A855" s="42"/>
      <c r="B855" s="35"/>
      <c r="C855" s="35"/>
      <c r="D855" s="35"/>
      <c r="E855" s="35"/>
      <c r="F855" s="35"/>
      <c r="G855" s="35"/>
      <c r="H855" s="36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</row>
    <row r="856" ht="15.75" customHeight="1">
      <c r="A856" s="42"/>
      <c r="B856" s="35"/>
      <c r="C856" s="35"/>
      <c r="D856" s="35"/>
      <c r="E856" s="35"/>
      <c r="F856" s="35"/>
      <c r="G856" s="35"/>
      <c r="H856" s="36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</row>
    <row r="857" ht="15.75" customHeight="1">
      <c r="A857" s="42"/>
      <c r="B857" s="35"/>
      <c r="C857" s="35"/>
      <c r="D857" s="35"/>
      <c r="E857" s="35"/>
      <c r="F857" s="35"/>
      <c r="G857" s="35"/>
      <c r="H857" s="36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</row>
    <row r="858" ht="15.75" customHeight="1">
      <c r="A858" s="42"/>
      <c r="B858" s="35"/>
      <c r="C858" s="35"/>
      <c r="D858" s="35"/>
      <c r="E858" s="35"/>
      <c r="F858" s="35"/>
      <c r="G858" s="35"/>
      <c r="H858" s="36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</row>
    <row r="859" ht="15.75" customHeight="1">
      <c r="A859" s="42"/>
      <c r="B859" s="35"/>
      <c r="C859" s="35"/>
      <c r="D859" s="35"/>
      <c r="E859" s="35"/>
      <c r="F859" s="35"/>
      <c r="G859" s="35"/>
      <c r="H859" s="36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</row>
    <row r="860" ht="15.75" customHeight="1">
      <c r="A860" s="42"/>
      <c r="B860" s="35"/>
      <c r="C860" s="35"/>
      <c r="D860" s="35"/>
      <c r="E860" s="35"/>
      <c r="F860" s="35"/>
      <c r="G860" s="35"/>
      <c r="H860" s="36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</row>
    <row r="861" ht="15.75" customHeight="1">
      <c r="A861" s="42"/>
      <c r="B861" s="35"/>
      <c r="C861" s="35"/>
      <c r="D861" s="35"/>
      <c r="E861" s="35"/>
      <c r="F861" s="35"/>
      <c r="G861" s="35"/>
      <c r="H861" s="36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</row>
    <row r="862" ht="15.75" customHeight="1">
      <c r="A862" s="42"/>
      <c r="B862" s="35"/>
      <c r="C862" s="35"/>
      <c r="D862" s="35"/>
      <c r="E862" s="35"/>
      <c r="F862" s="35"/>
      <c r="G862" s="35"/>
      <c r="H862" s="36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</row>
    <row r="863" ht="15.75" customHeight="1">
      <c r="A863" s="42"/>
      <c r="B863" s="35"/>
      <c r="C863" s="35"/>
      <c r="D863" s="35"/>
      <c r="E863" s="35"/>
      <c r="F863" s="35"/>
      <c r="G863" s="35"/>
      <c r="H863" s="36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</row>
    <row r="864" ht="15.75" customHeight="1">
      <c r="A864" s="42"/>
      <c r="B864" s="35"/>
      <c r="C864" s="35"/>
      <c r="D864" s="35"/>
      <c r="E864" s="35"/>
      <c r="F864" s="35"/>
      <c r="G864" s="35"/>
      <c r="H864" s="36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</row>
    <row r="865" ht="15.75" customHeight="1">
      <c r="A865" s="42"/>
      <c r="B865" s="35"/>
      <c r="C865" s="35"/>
      <c r="D865" s="35"/>
      <c r="E865" s="35"/>
      <c r="F865" s="35"/>
      <c r="G865" s="35"/>
      <c r="H865" s="36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</row>
    <row r="866" ht="15.75" customHeight="1">
      <c r="A866" s="42"/>
      <c r="B866" s="35"/>
      <c r="C866" s="35"/>
      <c r="D866" s="35"/>
      <c r="E866" s="35"/>
      <c r="F866" s="35"/>
      <c r="G866" s="35"/>
      <c r="H866" s="36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</row>
    <row r="867" ht="15.75" customHeight="1">
      <c r="A867" s="42"/>
      <c r="B867" s="35"/>
      <c r="C867" s="35"/>
      <c r="D867" s="35"/>
      <c r="E867" s="35"/>
      <c r="F867" s="35"/>
      <c r="G867" s="35"/>
      <c r="H867" s="36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</row>
    <row r="868" ht="15.75" customHeight="1">
      <c r="A868" s="42"/>
      <c r="B868" s="35"/>
      <c r="C868" s="35"/>
      <c r="D868" s="35"/>
      <c r="E868" s="35"/>
      <c r="F868" s="35"/>
      <c r="G868" s="35"/>
      <c r="H868" s="36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</row>
    <row r="869" ht="15.75" customHeight="1">
      <c r="A869" s="42"/>
      <c r="B869" s="35"/>
      <c r="C869" s="35"/>
      <c r="D869" s="35"/>
      <c r="E869" s="35"/>
      <c r="F869" s="35"/>
      <c r="G869" s="35"/>
      <c r="H869" s="36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</row>
    <row r="870" ht="15.75" customHeight="1">
      <c r="A870" s="42"/>
      <c r="B870" s="35"/>
      <c r="C870" s="35"/>
      <c r="D870" s="35"/>
      <c r="E870" s="35"/>
      <c r="F870" s="35"/>
      <c r="G870" s="35"/>
      <c r="H870" s="36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</row>
    <row r="871" ht="15.75" customHeight="1">
      <c r="A871" s="42"/>
      <c r="B871" s="35"/>
      <c r="C871" s="35"/>
      <c r="D871" s="35"/>
      <c r="E871" s="35"/>
      <c r="F871" s="35"/>
      <c r="G871" s="35"/>
      <c r="H871" s="36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</row>
    <row r="872" ht="15.75" customHeight="1">
      <c r="A872" s="42"/>
      <c r="B872" s="35"/>
      <c r="C872" s="35"/>
      <c r="D872" s="35"/>
      <c r="E872" s="35"/>
      <c r="F872" s="35"/>
      <c r="G872" s="35"/>
      <c r="H872" s="36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</row>
    <row r="873" ht="15.75" customHeight="1">
      <c r="A873" s="42"/>
      <c r="B873" s="35"/>
      <c r="C873" s="35"/>
      <c r="D873" s="35"/>
      <c r="E873" s="35"/>
      <c r="F873" s="35"/>
      <c r="G873" s="35"/>
      <c r="H873" s="36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</row>
    <row r="874" ht="15.75" customHeight="1">
      <c r="A874" s="42"/>
      <c r="B874" s="35"/>
      <c r="C874" s="35"/>
      <c r="D874" s="35"/>
      <c r="E874" s="35"/>
      <c r="F874" s="35"/>
      <c r="G874" s="35"/>
      <c r="H874" s="36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</row>
    <row r="875" ht="15.75" customHeight="1">
      <c r="A875" s="42"/>
      <c r="B875" s="35"/>
      <c r="C875" s="35"/>
      <c r="D875" s="35"/>
      <c r="E875" s="35"/>
      <c r="F875" s="35"/>
      <c r="G875" s="35"/>
      <c r="H875" s="36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</row>
    <row r="876" ht="15.75" customHeight="1">
      <c r="A876" s="42"/>
      <c r="B876" s="35"/>
      <c r="C876" s="35"/>
      <c r="D876" s="35"/>
      <c r="E876" s="35"/>
      <c r="F876" s="35"/>
      <c r="G876" s="35"/>
      <c r="H876" s="36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</row>
    <row r="877" ht="15.75" customHeight="1">
      <c r="A877" s="42"/>
      <c r="B877" s="35"/>
      <c r="C877" s="35"/>
      <c r="D877" s="35"/>
      <c r="E877" s="35"/>
      <c r="F877" s="35"/>
      <c r="G877" s="35"/>
      <c r="H877" s="36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</row>
    <row r="878" ht="15.75" customHeight="1">
      <c r="A878" s="42"/>
      <c r="B878" s="35"/>
      <c r="C878" s="35"/>
      <c r="D878" s="35"/>
      <c r="E878" s="35"/>
      <c r="F878" s="35"/>
      <c r="G878" s="35"/>
      <c r="H878" s="36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</row>
    <row r="879" ht="15.75" customHeight="1">
      <c r="A879" s="42"/>
      <c r="B879" s="35"/>
      <c r="C879" s="35"/>
      <c r="D879" s="35"/>
      <c r="E879" s="35"/>
      <c r="F879" s="35"/>
      <c r="G879" s="35"/>
      <c r="H879" s="36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ht="15.75" customHeight="1">
      <c r="A880" s="42"/>
      <c r="B880" s="35"/>
      <c r="C880" s="35"/>
      <c r="D880" s="35"/>
      <c r="E880" s="35"/>
      <c r="F880" s="35"/>
      <c r="G880" s="35"/>
      <c r="H880" s="36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</row>
    <row r="881" ht="15.75" customHeight="1">
      <c r="A881" s="42"/>
      <c r="B881" s="35"/>
      <c r="C881" s="35"/>
      <c r="D881" s="35"/>
      <c r="E881" s="35"/>
      <c r="F881" s="35"/>
      <c r="G881" s="35"/>
      <c r="H881" s="36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</row>
    <row r="882" ht="15.75" customHeight="1">
      <c r="A882" s="42"/>
      <c r="B882" s="35"/>
      <c r="C882" s="35"/>
      <c r="D882" s="35"/>
      <c r="E882" s="35"/>
      <c r="F882" s="35"/>
      <c r="G882" s="35"/>
      <c r="H882" s="36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</row>
    <row r="883" ht="15.75" customHeight="1">
      <c r="A883" s="42"/>
      <c r="B883" s="35"/>
      <c r="C883" s="35"/>
      <c r="D883" s="35"/>
      <c r="E883" s="35"/>
      <c r="F883" s="35"/>
      <c r="G883" s="35"/>
      <c r="H883" s="36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</row>
    <row r="884" ht="15.75" customHeight="1">
      <c r="A884" s="42"/>
      <c r="B884" s="35"/>
      <c r="C884" s="35"/>
      <c r="D884" s="35"/>
      <c r="E884" s="35"/>
      <c r="F884" s="35"/>
      <c r="G884" s="35"/>
      <c r="H884" s="36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</row>
    <row r="885" ht="15.75" customHeight="1">
      <c r="A885" s="42"/>
      <c r="B885" s="35"/>
      <c r="C885" s="35"/>
      <c r="D885" s="35"/>
      <c r="E885" s="35"/>
      <c r="F885" s="35"/>
      <c r="G885" s="35"/>
      <c r="H885" s="36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</row>
    <row r="886" ht="15.75" customHeight="1">
      <c r="A886" s="42"/>
      <c r="B886" s="35"/>
      <c r="C886" s="35"/>
      <c r="D886" s="35"/>
      <c r="E886" s="35"/>
      <c r="F886" s="35"/>
      <c r="G886" s="35"/>
      <c r="H886" s="36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</row>
    <row r="887" ht="15.75" customHeight="1">
      <c r="A887" s="42"/>
      <c r="B887" s="35"/>
      <c r="C887" s="35"/>
      <c r="D887" s="35"/>
      <c r="E887" s="35"/>
      <c r="F887" s="35"/>
      <c r="G887" s="35"/>
      <c r="H887" s="36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</row>
    <row r="888" ht="15.75" customHeight="1">
      <c r="A888" s="42"/>
      <c r="B888" s="35"/>
      <c r="C888" s="35"/>
      <c r="D888" s="35"/>
      <c r="E888" s="35"/>
      <c r="F888" s="35"/>
      <c r="G888" s="35"/>
      <c r="H888" s="36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</row>
    <row r="889" ht="15.75" customHeight="1">
      <c r="A889" s="42"/>
      <c r="B889" s="35"/>
      <c r="C889" s="35"/>
      <c r="D889" s="35"/>
      <c r="E889" s="35"/>
      <c r="F889" s="35"/>
      <c r="G889" s="35"/>
      <c r="H889" s="36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</row>
    <row r="890" ht="15.75" customHeight="1">
      <c r="A890" s="42"/>
      <c r="B890" s="35"/>
      <c r="C890" s="35"/>
      <c r="D890" s="35"/>
      <c r="E890" s="35"/>
      <c r="F890" s="35"/>
      <c r="G890" s="35"/>
      <c r="H890" s="36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</row>
    <row r="891" ht="15.75" customHeight="1">
      <c r="A891" s="42"/>
      <c r="B891" s="35"/>
      <c r="C891" s="35"/>
      <c r="D891" s="35"/>
      <c r="E891" s="35"/>
      <c r="F891" s="35"/>
      <c r="G891" s="35"/>
      <c r="H891" s="36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</row>
    <row r="892" ht="15.75" customHeight="1">
      <c r="A892" s="42"/>
      <c r="B892" s="35"/>
      <c r="C892" s="35"/>
      <c r="D892" s="35"/>
      <c r="E892" s="35"/>
      <c r="F892" s="35"/>
      <c r="G892" s="35"/>
      <c r="H892" s="36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</row>
    <row r="893" ht="15.75" customHeight="1">
      <c r="A893" s="42"/>
      <c r="B893" s="35"/>
      <c r="C893" s="35"/>
      <c r="D893" s="35"/>
      <c r="E893" s="35"/>
      <c r="F893" s="35"/>
      <c r="G893" s="35"/>
      <c r="H893" s="36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</row>
    <row r="894" ht="15.75" customHeight="1">
      <c r="A894" s="42"/>
      <c r="B894" s="35"/>
      <c r="C894" s="35"/>
      <c r="D894" s="35"/>
      <c r="E894" s="35"/>
      <c r="F894" s="35"/>
      <c r="G894" s="35"/>
      <c r="H894" s="36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</row>
    <row r="895" ht="15.75" customHeight="1">
      <c r="A895" s="42"/>
      <c r="B895" s="35"/>
      <c r="C895" s="35"/>
      <c r="D895" s="35"/>
      <c r="E895" s="35"/>
      <c r="F895" s="35"/>
      <c r="G895" s="35"/>
      <c r="H895" s="36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</row>
    <row r="896" ht="15.75" customHeight="1">
      <c r="A896" s="42"/>
      <c r="B896" s="35"/>
      <c r="C896" s="35"/>
      <c r="D896" s="35"/>
      <c r="E896" s="35"/>
      <c r="F896" s="35"/>
      <c r="G896" s="35"/>
      <c r="H896" s="36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</row>
    <row r="897" ht="15.75" customHeight="1">
      <c r="A897" s="42"/>
      <c r="B897" s="35"/>
      <c r="C897" s="35"/>
      <c r="D897" s="35"/>
      <c r="E897" s="35"/>
      <c r="F897" s="35"/>
      <c r="G897" s="35"/>
      <c r="H897" s="36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</row>
    <row r="898" ht="15.75" customHeight="1">
      <c r="A898" s="42"/>
      <c r="B898" s="35"/>
      <c r="C898" s="35"/>
      <c r="D898" s="35"/>
      <c r="E898" s="35"/>
      <c r="F898" s="35"/>
      <c r="G898" s="35"/>
      <c r="H898" s="36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</row>
    <row r="899" ht="15.75" customHeight="1">
      <c r="A899" s="42"/>
      <c r="B899" s="35"/>
      <c r="C899" s="35"/>
      <c r="D899" s="35"/>
      <c r="E899" s="35"/>
      <c r="F899" s="35"/>
      <c r="G899" s="35"/>
      <c r="H899" s="36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</row>
    <row r="900" ht="15.75" customHeight="1">
      <c r="A900" s="42"/>
      <c r="B900" s="35"/>
      <c r="C900" s="35"/>
      <c r="D900" s="35"/>
      <c r="E900" s="35"/>
      <c r="F900" s="35"/>
      <c r="G900" s="35"/>
      <c r="H900" s="36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</row>
    <row r="901" ht="15.75" customHeight="1">
      <c r="A901" s="42"/>
      <c r="B901" s="35"/>
      <c r="C901" s="35"/>
      <c r="D901" s="35"/>
      <c r="E901" s="35"/>
      <c r="F901" s="35"/>
      <c r="G901" s="35"/>
      <c r="H901" s="36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</row>
    <row r="902" ht="15.75" customHeight="1">
      <c r="A902" s="42"/>
      <c r="B902" s="35"/>
      <c r="C902" s="35"/>
      <c r="D902" s="35"/>
      <c r="E902" s="35"/>
      <c r="F902" s="35"/>
      <c r="G902" s="35"/>
      <c r="H902" s="36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</row>
    <row r="903" ht="15.75" customHeight="1">
      <c r="A903" s="42"/>
      <c r="B903" s="35"/>
      <c r="C903" s="35"/>
      <c r="D903" s="35"/>
      <c r="E903" s="35"/>
      <c r="F903" s="35"/>
      <c r="G903" s="35"/>
      <c r="H903" s="36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</row>
    <row r="904" ht="15.75" customHeight="1">
      <c r="A904" s="42"/>
      <c r="B904" s="35"/>
      <c r="C904" s="35"/>
      <c r="D904" s="35"/>
      <c r="E904" s="35"/>
      <c r="F904" s="35"/>
      <c r="G904" s="35"/>
      <c r="H904" s="36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</row>
    <row r="905" ht="15.75" customHeight="1">
      <c r="A905" s="42"/>
      <c r="B905" s="35"/>
      <c r="C905" s="35"/>
      <c r="D905" s="35"/>
      <c r="E905" s="35"/>
      <c r="F905" s="35"/>
      <c r="G905" s="35"/>
      <c r="H905" s="36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</row>
    <row r="906" ht="15.75" customHeight="1">
      <c r="A906" s="42"/>
      <c r="B906" s="35"/>
      <c r="C906" s="35"/>
      <c r="D906" s="35"/>
      <c r="E906" s="35"/>
      <c r="F906" s="35"/>
      <c r="G906" s="35"/>
      <c r="H906" s="36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</row>
    <row r="907" ht="15.75" customHeight="1">
      <c r="A907" s="42"/>
      <c r="B907" s="35"/>
      <c r="C907" s="35"/>
      <c r="D907" s="35"/>
      <c r="E907" s="35"/>
      <c r="F907" s="35"/>
      <c r="G907" s="35"/>
      <c r="H907" s="36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</row>
    <row r="908" ht="15.75" customHeight="1">
      <c r="A908" s="42"/>
      <c r="B908" s="35"/>
      <c r="C908" s="35"/>
      <c r="D908" s="35"/>
      <c r="E908" s="35"/>
      <c r="F908" s="35"/>
      <c r="G908" s="35"/>
      <c r="H908" s="36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</row>
    <row r="909" ht="15.75" customHeight="1">
      <c r="A909" s="42"/>
      <c r="B909" s="35"/>
      <c r="C909" s="35"/>
      <c r="D909" s="35"/>
      <c r="E909" s="35"/>
      <c r="F909" s="35"/>
      <c r="G909" s="35"/>
      <c r="H909" s="36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</row>
    <row r="910" ht="15.75" customHeight="1">
      <c r="A910" s="42"/>
      <c r="B910" s="35"/>
      <c r="C910" s="35"/>
      <c r="D910" s="35"/>
      <c r="E910" s="35"/>
      <c r="F910" s="35"/>
      <c r="G910" s="35"/>
      <c r="H910" s="36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</row>
    <row r="911" ht="15.75" customHeight="1">
      <c r="A911" s="42"/>
      <c r="B911" s="35"/>
      <c r="C911" s="35"/>
      <c r="D911" s="35"/>
      <c r="E911" s="35"/>
      <c r="F911" s="35"/>
      <c r="G911" s="35"/>
      <c r="H911" s="36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</row>
    <row r="912" ht="15.75" customHeight="1">
      <c r="A912" s="42"/>
      <c r="B912" s="35"/>
      <c r="C912" s="35"/>
      <c r="D912" s="35"/>
      <c r="E912" s="35"/>
      <c r="F912" s="35"/>
      <c r="G912" s="35"/>
      <c r="H912" s="36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</row>
    <row r="913" ht="15.75" customHeight="1">
      <c r="A913" s="42"/>
      <c r="B913" s="35"/>
      <c r="C913" s="35"/>
      <c r="D913" s="35"/>
      <c r="E913" s="35"/>
      <c r="F913" s="35"/>
      <c r="G913" s="35"/>
      <c r="H913" s="36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</row>
    <row r="914" ht="15.75" customHeight="1">
      <c r="A914" s="42"/>
      <c r="B914" s="35"/>
      <c r="C914" s="35"/>
      <c r="D914" s="35"/>
      <c r="E914" s="35"/>
      <c r="F914" s="35"/>
      <c r="G914" s="35"/>
      <c r="H914" s="36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</row>
    <row r="915" ht="15.75" customHeight="1">
      <c r="A915" s="42"/>
      <c r="B915" s="35"/>
      <c r="C915" s="35"/>
      <c r="D915" s="35"/>
      <c r="E915" s="35"/>
      <c r="F915" s="35"/>
      <c r="G915" s="35"/>
      <c r="H915" s="36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</row>
    <row r="916" ht="15.75" customHeight="1">
      <c r="A916" s="42"/>
      <c r="B916" s="35"/>
      <c r="C916" s="35"/>
      <c r="D916" s="35"/>
      <c r="E916" s="35"/>
      <c r="F916" s="35"/>
      <c r="G916" s="35"/>
      <c r="H916" s="36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</row>
    <row r="917" ht="15.75" customHeight="1">
      <c r="A917" s="42"/>
      <c r="B917" s="35"/>
      <c r="C917" s="35"/>
      <c r="D917" s="35"/>
      <c r="E917" s="35"/>
      <c r="F917" s="35"/>
      <c r="G917" s="35"/>
      <c r="H917" s="36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</row>
    <row r="918" ht="15.75" customHeight="1">
      <c r="A918" s="42"/>
      <c r="B918" s="35"/>
      <c r="C918" s="35"/>
      <c r="D918" s="35"/>
      <c r="E918" s="35"/>
      <c r="F918" s="35"/>
      <c r="G918" s="35"/>
      <c r="H918" s="36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</row>
    <row r="919" ht="15.75" customHeight="1">
      <c r="A919" s="42"/>
      <c r="B919" s="35"/>
      <c r="C919" s="35"/>
      <c r="D919" s="35"/>
      <c r="E919" s="35"/>
      <c r="F919" s="35"/>
      <c r="G919" s="35"/>
      <c r="H919" s="36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</row>
    <row r="920" ht="15.75" customHeight="1">
      <c r="A920" s="42"/>
      <c r="B920" s="35"/>
      <c r="C920" s="35"/>
      <c r="D920" s="35"/>
      <c r="E920" s="35"/>
      <c r="F920" s="35"/>
      <c r="G920" s="35"/>
      <c r="H920" s="36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</row>
    <row r="921" ht="15.75" customHeight="1">
      <c r="A921" s="42"/>
      <c r="B921" s="35"/>
      <c r="C921" s="35"/>
      <c r="D921" s="35"/>
      <c r="E921" s="35"/>
      <c r="F921" s="35"/>
      <c r="G921" s="35"/>
      <c r="H921" s="36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</row>
    <row r="922" ht="15.75" customHeight="1">
      <c r="A922" s="42"/>
      <c r="B922" s="35"/>
      <c r="C922" s="35"/>
      <c r="D922" s="35"/>
      <c r="E922" s="35"/>
      <c r="F922" s="35"/>
      <c r="G922" s="35"/>
      <c r="H922" s="36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</row>
    <row r="923" ht="15.75" customHeight="1">
      <c r="A923" s="42"/>
      <c r="B923" s="35"/>
      <c r="C923" s="35"/>
      <c r="D923" s="35"/>
      <c r="E923" s="35"/>
      <c r="F923" s="35"/>
      <c r="G923" s="35"/>
      <c r="H923" s="36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</row>
    <row r="924" ht="15.75" customHeight="1">
      <c r="A924" s="42"/>
      <c r="B924" s="35"/>
      <c r="C924" s="35"/>
      <c r="D924" s="35"/>
      <c r="E924" s="35"/>
      <c r="F924" s="35"/>
      <c r="G924" s="35"/>
      <c r="H924" s="36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</row>
    <row r="925" ht="15.75" customHeight="1">
      <c r="A925" s="42"/>
      <c r="B925" s="35"/>
      <c r="C925" s="35"/>
      <c r="D925" s="35"/>
      <c r="E925" s="35"/>
      <c r="F925" s="35"/>
      <c r="G925" s="35"/>
      <c r="H925" s="36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</row>
    <row r="926" ht="15.75" customHeight="1">
      <c r="A926" s="42"/>
      <c r="B926" s="35"/>
      <c r="C926" s="35"/>
      <c r="D926" s="35"/>
      <c r="E926" s="35"/>
      <c r="F926" s="35"/>
      <c r="G926" s="35"/>
      <c r="H926" s="36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</row>
    <row r="927" ht="15.75" customHeight="1">
      <c r="A927" s="42"/>
      <c r="B927" s="35"/>
      <c r="C927" s="35"/>
      <c r="D927" s="35"/>
      <c r="E927" s="35"/>
      <c r="F927" s="35"/>
      <c r="G927" s="35"/>
      <c r="H927" s="36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</row>
    <row r="928" ht="15.75" customHeight="1">
      <c r="A928" s="42"/>
      <c r="B928" s="35"/>
      <c r="C928" s="35"/>
      <c r="D928" s="35"/>
      <c r="E928" s="35"/>
      <c r="F928" s="35"/>
      <c r="G928" s="35"/>
      <c r="H928" s="36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</row>
    <row r="929" ht="15.75" customHeight="1">
      <c r="A929" s="42"/>
      <c r="B929" s="35"/>
      <c r="C929" s="35"/>
      <c r="D929" s="35"/>
      <c r="E929" s="35"/>
      <c r="F929" s="35"/>
      <c r="G929" s="35"/>
      <c r="H929" s="36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</row>
    <row r="930" ht="15.75" customHeight="1">
      <c r="A930" s="42"/>
      <c r="B930" s="35"/>
      <c r="C930" s="35"/>
      <c r="D930" s="35"/>
      <c r="E930" s="35"/>
      <c r="F930" s="35"/>
      <c r="G930" s="35"/>
      <c r="H930" s="36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</row>
    <row r="931" ht="15.75" customHeight="1">
      <c r="A931" s="42"/>
      <c r="B931" s="35"/>
      <c r="C931" s="35"/>
      <c r="D931" s="35"/>
      <c r="E931" s="35"/>
      <c r="F931" s="35"/>
      <c r="G931" s="35"/>
      <c r="H931" s="36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</row>
    <row r="932" ht="15.75" customHeight="1">
      <c r="A932" s="42"/>
      <c r="B932" s="35"/>
      <c r="C932" s="35"/>
      <c r="D932" s="35"/>
      <c r="E932" s="35"/>
      <c r="F932" s="35"/>
      <c r="G932" s="35"/>
      <c r="H932" s="36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</row>
    <row r="933" ht="15.75" customHeight="1">
      <c r="A933" s="42"/>
      <c r="B933" s="35"/>
      <c r="C933" s="35"/>
      <c r="D933" s="35"/>
      <c r="E933" s="35"/>
      <c r="F933" s="35"/>
      <c r="G933" s="35"/>
      <c r="H933" s="36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</row>
    <row r="934" ht="15.75" customHeight="1">
      <c r="A934" s="42"/>
      <c r="B934" s="35"/>
      <c r="C934" s="35"/>
      <c r="D934" s="35"/>
      <c r="E934" s="35"/>
      <c r="F934" s="35"/>
      <c r="G934" s="35"/>
      <c r="H934" s="36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</row>
    <row r="935" ht="15.75" customHeight="1">
      <c r="A935" s="42"/>
      <c r="B935" s="35"/>
      <c r="C935" s="35"/>
      <c r="D935" s="35"/>
      <c r="E935" s="35"/>
      <c r="F935" s="35"/>
      <c r="G935" s="35"/>
      <c r="H935" s="36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</row>
    <row r="936" ht="15.75" customHeight="1">
      <c r="A936" s="42"/>
      <c r="B936" s="35"/>
      <c r="C936" s="35"/>
      <c r="D936" s="35"/>
      <c r="E936" s="35"/>
      <c r="F936" s="35"/>
      <c r="G936" s="35"/>
      <c r="H936" s="36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</row>
    <row r="937" ht="15.75" customHeight="1">
      <c r="A937" s="42"/>
      <c r="B937" s="35"/>
      <c r="C937" s="35"/>
      <c r="D937" s="35"/>
      <c r="E937" s="35"/>
      <c r="F937" s="35"/>
      <c r="G937" s="35"/>
      <c r="H937" s="36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</row>
    <row r="938" ht="15.75" customHeight="1">
      <c r="A938" s="42"/>
      <c r="B938" s="35"/>
      <c r="C938" s="35"/>
      <c r="D938" s="35"/>
      <c r="E938" s="35"/>
      <c r="F938" s="35"/>
      <c r="G938" s="35"/>
      <c r="H938" s="36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</row>
    <row r="939" ht="15.75" customHeight="1">
      <c r="A939" s="42"/>
      <c r="B939" s="35"/>
      <c r="C939" s="35"/>
      <c r="D939" s="35"/>
      <c r="E939" s="35"/>
      <c r="F939" s="35"/>
      <c r="G939" s="35"/>
      <c r="H939" s="36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</row>
    <row r="940" ht="15.75" customHeight="1">
      <c r="A940" s="42"/>
      <c r="B940" s="35"/>
      <c r="C940" s="35"/>
      <c r="D940" s="35"/>
      <c r="E940" s="35"/>
      <c r="F940" s="35"/>
      <c r="G940" s="35"/>
      <c r="H940" s="36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</row>
    <row r="941" ht="15.75" customHeight="1">
      <c r="A941" s="42"/>
      <c r="B941" s="35"/>
      <c r="C941" s="35"/>
      <c r="D941" s="35"/>
      <c r="E941" s="35"/>
      <c r="F941" s="35"/>
      <c r="G941" s="35"/>
      <c r="H941" s="36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</row>
    <row r="942" ht="15.75" customHeight="1">
      <c r="A942" s="42"/>
      <c r="B942" s="35"/>
      <c r="C942" s="35"/>
      <c r="D942" s="35"/>
      <c r="E942" s="35"/>
      <c r="F942" s="35"/>
      <c r="G942" s="35"/>
      <c r="H942" s="36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</row>
    <row r="943" ht="15.75" customHeight="1">
      <c r="A943" s="42"/>
      <c r="B943" s="35"/>
      <c r="C943" s="35"/>
      <c r="D943" s="35"/>
      <c r="E943" s="35"/>
      <c r="F943" s="35"/>
      <c r="G943" s="35"/>
      <c r="H943" s="36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</row>
    <row r="944" ht="15.75" customHeight="1">
      <c r="A944" s="42"/>
      <c r="B944" s="35"/>
      <c r="C944" s="35"/>
      <c r="D944" s="35"/>
      <c r="E944" s="35"/>
      <c r="F944" s="35"/>
      <c r="G944" s="35"/>
      <c r="H944" s="36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</row>
    <row r="945" ht="15.75" customHeight="1">
      <c r="A945" s="42"/>
      <c r="B945" s="35"/>
      <c r="C945" s="35"/>
      <c r="D945" s="35"/>
      <c r="E945" s="35"/>
      <c r="F945" s="35"/>
      <c r="G945" s="35"/>
      <c r="H945" s="36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</row>
    <row r="946" ht="15.75" customHeight="1">
      <c r="A946" s="42"/>
      <c r="B946" s="35"/>
      <c r="C946" s="35"/>
      <c r="D946" s="35"/>
      <c r="E946" s="35"/>
      <c r="F946" s="35"/>
      <c r="G946" s="35"/>
      <c r="H946" s="36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</row>
    <row r="947" ht="15.75" customHeight="1">
      <c r="A947" s="42"/>
      <c r="B947" s="35"/>
      <c r="C947" s="35"/>
      <c r="D947" s="35"/>
      <c r="E947" s="35"/>
      <c r="F947" s="35"/>
      <c r="G947" s="35"/>
      <c r="H947" s="36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</row>
    <row r="948" ht="15.75" customHeight="1">
      <c r="A948" s="42"/>
      <c r="B948" s="35"/>
      <c r="C948" s="35"/>
      <c r="D948" s="35"/>
      <c r="E948" s="35"/>
      <c r="F948" s="35"/>
      <c r="G948" s="35"/>
      <c r="H948" s="36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</row>
    <row r="949" ht="15.75" customHeight="1">
      <c r="A949" s="42"/>
      <c r="B949" s="35"/>
      <c r="C949" s="35"/>
      <c r="D949" s="35"/>
      <c r="E949" s="35"/>
      <c r="F949" s="35"/>
      <c r="G949" s="35"/>
      <c r="H949" s="36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</row>
    <row r="950" ht="15.75" customHeight="1">
      <c r="A950" s="42"/>
      <c r="B950" s="35"/>
      <c r="C950" s="35"/>
      <c r="D950" s="35"/>
      <c r="E950" s="35"/>
      <c r="F950" s="35"/>
      <c r="G950" s="35"/>
      <c r="H950" s="36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</row>
    <row r="951" ht="15.75" customHeight="1">
      <c r="A951" s="42"/>
      <c r="B951" s="35"/>
      <c r="C951" s="35"/>
      <c r="D951" s="35"/>
      <c r="E951" s="35"/>
      <c r="F951" s="35"/>
      <c r="G951" s="35"/>
      <c r="H951" s="36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</row>
    <row r="952" ht="15.75" customHeight="1">
      <c r="A952" s="42"/>
      <c r="B952" s="35"/>
      <c r="C952" s="35"/>
      <c r="D952" s="35"/>
      <c r="E952" s="35"/>
      <c r="F952" s="35"/>
      <c r="G952" s="35"/>
      <c r="H952" s="36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</row>
    <row r="953" ht="15.75" customHeight="1">
      <c r="A953" s="42"/>
      <c r="B953" s="35"/>
      <c r="C953" s="35"/>
      <c r="D953" s="35"/>
      <c r="E953" s="35"/>
      <c r="F953" s="35"/>
      <c r="G953" s="35"/>
      <c r="H953" s="36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</row>
    <row r="954" ht="15.75" customHeight="1">
      <c r="A954" s="42"/>
      <c r="B954" s="35"/>
      <c r="C954" s="35"/>
      <c r="D954" s="35"/>
      <c r="E954" s="35"/>
      <c r="F954" s="35"/>
      <c r="G954" s="35"/>
      <c r="H954" s="36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</row>
    <row r="955" ht="15.75" customHeight="1">
      <c r="A955" s="42"/>
      <c r="B955" s="35"/>
      <c r="C955" s="35"/>
      <c r="D955" s="35"/>
      <c r="E955" s="35"/>
      <c r="F955" s="35"/>
      <c r="G955" s="35"/>
      <c r="H955" s="36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</row>
    <row r="956" ht="15.75" customHeight="1">
      <c r="A956" s="42"/>
      <c r="B956" s="35"/>
      <c r="C956" s="35"/>
      <c r="D956" s="35"/>
      <c r="E956" s="35"/>
      <c r="F956" s="35"/>
      <c r="G956" s="35"/>
      <c r="H956" s="36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</row>
    <row r="957" ht="15.75" customHeight="1">
      <c r="A957" s="42"/>
      <c r="B957" s="35"/>
      <c r="C957" s="35"/>
      <c r="D957" s="35"/>
      <c r="E957" s="35"/>
      <c r="F957" s="35"/>
      <c r="G957" s="35"/>
      <c r="H957" s="36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</row>
    <row r="958" ht="15.75" customHeight="1">
      <c r="A958" s="42"/>
      <c r="B958" s="35"/>
      <c r="C958" s="35"/>
      <c r="D958" s="35"/>
      <c r="E958" s="35"/>
      <c r="F958" s="35"/>
      <c r="G958" s="35"/>
      <c r="H958" s="36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</row>
    <row r="959" ht="15.75" customHeight="1">
      <c r="A959" s="42"/>
      <c r="B959" s="35"/>
      <c r="C959" s="35"/>
      <c r="D959" s="35"/>
      <c r="E959" s="35"/>
      <c r="F959" s="35"/>
      <c r="G959" s="35"/>
      <c r="H959" s="36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</row>
    <row r="960" ht="15.75" customHeight="1">
      <c r="A960" s="42"/>
      <c r="B960" s="35"/>
      <c r="C960" s="35"/>
      <c r="D960" s="35"/>
      <c r="E960" s="35"/>
      <c r="F960" s="35"/>
      <c r="G960" s="35"/>
      <c r="H960" s="36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</row>
    <row r="961" ht="15.75" customHeight="1">
      <c r="A961" s="42"/>
      <c r="B961" s="35"/>
      <c r="C961" s="35"/>
      <c r="D961" s="35"/>
      <c r="E961" s="35"/>
      <c r="F961" s="35"/>
      <c r="G961" s="35"/>
      <c r="H961" s="36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</row>
    <row r="962" ht="15.75" customHeight="1">
      <c r="A962" s="42"/>
      <c r="B962" s="35"/>
      <c r="C962" s="35"/>
      <c r="D962" s="35"/>
      <c r="E962" s="35"/>
      <c r="F962" s="35"/>
      <c r="G962" s="35"/>
      <c r="H962" s="36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</row>
    <row r="963" ht="15.75" customHeight="1">
      <c r="A963" s="42"/>
      <c r="B963" s="35"/>
      <c r="C963" s="35"/>
      <c r="D963" s="35"/>
      <c r="E963" s="35"/>
      <c r="F963" s="35"/>
      <c r="G963" s="35"/>
      <c r="H963" s="36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</row>
    <row r="964" ht="15.75" customHeight="1">
      <c r="A964" s="42"/>
      <c r="B964" s="35"/>
      <c r="C964" s="35"/>
      <c r="D964" s="35"/>
      <c r="E964" s="35"/>
      <c r="F964" s="35"/>
      <c r="G964" s="35"/>
      <c r="H964" s="36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</row>
    <row r="965" ht="15.75" customHeight="1">
      <c r="A965" s="42"/>
      <c r="B965" s="35"/>
      <c r="C965" s="35"/>
      <c r="D965" s="35"/>
      <c r="E965" s="35"/>
      <c r="F965" s="35"/>
      <c r="G965" s="35"/>
      <c r="H965" s="36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</row>
    <row r="966" ht="15.75" customHeight="1">
      <c r="A966" s="42"/>
      <c r="B966" s="35"/>
      <c r="C966" s="35"/>
      <c r="D966" s="35"/>
      <c r="E966" s="35"/>
      <c r="F966" s="35"/>
      <c r="G966" s="35"/>
      <c r="H966" s="36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</row>
    <row r="967" ht="15.75" customHeight="1">
      <c r="A967" s="42"/>
      <c r="B967" s="35"/>
      <c r="C967" s="35"/>
      <c r="D967" s="35"/>
      <c r="E967" s="35"/>
      <c r="F967" s="35"/>
      <c r="G967" s="35"/>
      <c r="H967" s="36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</row>
    <row r="968" ht="15.75" customHeight="1">
      <c r="A968" s="42"/>
      <c r="B968" s="35"/>
      <c r="C968" s="35"/>
      <c r="D968" s="35"/>
      <c r="E968" s="35"/>
      <c r="F968" s="35"/>
      <c r="G968" s="35"/>
      <c r="H968" s="36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</row>
    <row r="969" ht="15.75" customHeight="1">
      <c r="A969" s="42"/>
      <c r="B969" s="35"/>
      <c r="C969" s="35"/>
      <c r="D969" s="35"/>
      <c r="E969" s="35"/>
      <c r="F969" s="35"/>
      <c r="G969" s="35"/>
      <c r="H969" s="36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</row>
    <row r="970" ht="15.75" customHeight="1">
      <c r="A970" s="42"/>
      <c r="B970" s="35"/>
      <c r="C970" s="35"/>
      <c r="D970" s="35"/>
      <c r="E970" s="35"/>
      <c r="F970" s="35"/>
      <c r="G970" s="35"/>
      <c r="H970" s="36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</row>
    <row r="971" ht="15.75" customHeight="1">
      <c r="A971" s="42"/>
      <c r="B971" s="35"/>
      <c r="C971" s="35"/>
      <c r="D971" s="35"/>
      <c r="E971" s="35"/>
      <c r="F971" s="35"/>
      <c r="G971" s="35"/>
      <c r="H971" s="36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</row>
    <row r="972" ht="15.75" customHeight="1">
      <c r="A972" s="42"/>
      <c r="B972" s="35"/>
      <c r="C972" s="35"/>
      <c r="D972" s="35"/>
      <c r="E972" s="35"/>
      <c r="F972" s="35"/>
      <c r="G972" s="35"/>
      <c r="H972" s="36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</row>
    <row r="973" ht="15.75" customHeight="1">
      <c r="A973" s="42"/>
      <c r="B973" s="35"/>
      <c r="C973" s="35"/>
      <c r="D973" s="35"/>
      <c r="E973" s="35"/>
      <c r="F973" s="35"/>
      <c r="G973" s="35"/>
      <c r="H973" s="36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</row>
    <row r="974" ht="15.75" customHeight="1">
      <c r="A974" s="42"/>
      <c r="B974" s="35"/>
      <c r="C974" s="35"/>
      <c r="D974" s="35"/>
      <c r="E974" s="35"/>
      <c r="F974" s="35"/>
      <c r="G974" s="35"/>
      <c r="H974" s="36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</row>
    <row r="975" ht="15.75" customHeight="1">
      <c r="A975" s="42"/>
      <c r="B975" s="35"/>
      <c r="C975" s="35"/>
      <c r="D975" s="35"/>
      <c r="E975" s="35"/>
      <c r="F975" s="35"/>
      <c r="G975" s="35"/>
      <c r="H975" s="36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</row>
    <row r="976" ht="15.75" customHeight="1">
      <c r="A976" s="42"/>
      <c r="B976" s="35"/>
      <c r="C976" s="35"/>
      <c r="D976" s="35"/>
      <c r="E976" s="35"/>
      <c r="F976" s="35"/>
      <c r="G976" s="35"/>
      <c r="H976" s="36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</row>
    <row r="977" ht="15.75" customHeight="1">
      <c r="A977" s="42"/>
      <c r="B977" s="35"/>
      <c r="C977" s="35"/>
      <c r="D977" s="35"/>
      <c r="E977" s="35"/>
      <c r="F977" s="35"/>
      <c r="G977" s="35"/>
      <c r="H977" s="36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</row>
    <row r="978" ht="15.75" customHeight="1">
      <c r="A978" s="42"/>
      <c r="B978" s="35"/>
      <c r="C978" s="35"/>
      <c r="D978" s="35"/>
      <c r="E978" s="35"/>
      <c r="F978" s="35"/>
      <c r="G978" s="35"/>
      <c r="H978" s="36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</row>
    <row r="979" ht="15.75" customHeight="1">
      <c r="A979" s="42"/>
      <c r="B979" s="35"/>
      <c r="C979" s="35"/>
      <c r="D979" s="35"/>
      <c r="E979" s="35"/>
      <c r="F979" s="35"/>
      <c r="G979" s="35"/>
      <c r="H979" s="36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</row>
    <row r="980" ht="15.75" customHeight="1">
      <c r="A980" s="42"/>
      <c r="B980" s="35"/>
      <c r="C980" s="35"/>
      <c r="D980" s="35"/>
      <c r="E980" s="35"/>
      <c r="F980" s="35"/>
      <c r="G980" s="35"/>
      <c r="H980" s="36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</row>
    <row r="981" ht="15.75" customHeight="1">
      <c r="A981" s="42"/>
      <c r="B981" s="35"/>
      <c r="C981" s="35"/>
      <c r="D981" s="35"/>
      <c r="E981" s="35"/>
      <c r="F981" s="35"/>
      <c r="G981" s="35"/>
      <c r="H981" s="36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</row>
    <row r="982" ht="15.75" customHeight="1">
      <c r="A982" s="42"/>
      <c r="B982" s="35"/>
      <c r="C982" s="35"/>
      <c r="D982" s="35"/>
      <c r="E982" s="35"/>
      <c r="F982" s="35"/>
      <c r="G982" s="35"/>
      <c r="H982" s="36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</row>
    <row r="983" ht="15.75" customHeight="1">
      <c r="A983" s="42"/>
      <c r="B983" s="35"/>
      <c r="C983" s="35"/>
      <c r="D983" s="35"/>
      <c r="E983" s="35"/>
      <c r="F983" s="35"/>
      <c r="G983" s="35"/>
      <c r="H983" s="36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</row>
    <row r="984" ht="15.75" customHeight="1">
      <c r="A984" s="42"/>
      <c r="B984" s="35"/>
      <c r="C984" s="35"/>
      <c r="D984" s="35"/>
      <c r="E984" s="35"/>
      <c r="F984" s="35"/>
      <c r="G984" s="35"/>
      <c r="H984" s="36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</row>
    <row r="985" ht="15.75" customHeight="1">
      <c r="A985" s="42"/>
      <c r="B985" s="35"/>
      <c r="C985" s="35"/>
      <c r="D985" s="35"/>
      <c r="E985" s="35"/>
      <c r="F985" s="35"/>
      <c r="G985" s="35"/>
      <c r="H985" s="36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</row>
    <row r="986" ht="15.75" customHeight="1">
      <c r="A986" s="42"/>
      <c r="B986" s="35"/>
      <c r="C986" s="35"/>
      <c r="D986" s="35"/>
      <c r="E986" s="35"/>
      <c r="F986" s="35"/>
      <c r="G986" s="35"/>
      <c r="H986" s="36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</row>
    <row r="987" ht="15.75" customHeight="1">
      <c r="A987" s="42"/>
      <c r="B987" s="35"/>
      <c r="C987" s="35"/>
      <c r="D987" s="35"/>
      <c r="E987" s="35"/>
      <c r="F987" s="35"/>
      <c r="G987" s="35"/>
      <c r="H987" s="36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</row>
    <row r="988" ht="15.75" customHeight="1">
      <c r="A988" s="42"/>
      <c r="B988" s="35"/>
      <c r="C988" s="35"/>
      <c r="D988" s="35"/>
      <c r="E988" s="35"/>
      <c r="F988" s="35"/>
      <c r="G988" s="35"/>
      <c r="H988" s="36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</row>
    <row r="989" ht="15.75" customHeight="1">
      <c r="A989" s="42"/>
      <c r="B989" s="35"/>
      <c r="C989" s="35"/>
      <c r="D989" s="35"/>
      <c r="E989" s="35"/>
      <c r="F989" s="35"/>
      <c r="G989" s="35"/>
      <c r="H989" s="36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</row>
    <row r="990" ht="15.75" customHeight="1">
      <c r="A990" s="42"/>
      <c r="B990" s="35"/>
      <c r="C990" s="35"/>
      <c r="D990" s="35"/>
      <c r="E990" s="35"/>
      <c r="F990" s="35"/>
      <c r="G990" s="35"/>
      <c r="H990" s="36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</row>
    <row r="991" ht="15.75" customHeight="1">
      <c r="A991" s="42"/>
      <c r="B991" s="35"/>
      <c r="C991" s="35"/>
      <c r="D991" s="35"/>
      <c r="E991" s="35"/>
      <c r="F991" s="35"/>
      <c r="G991" s="35"/>
      <c r="H991" s="36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</row>
    <row r="992" ht="15.75" customHeight="1">
      <c r="A992" s="42"/>
      <c r="B992" s="35"/>
      <c r="C992" s="35"/>
      <c r="D992" s="35"/>
      <c r="E992" s="35"/>
      <c r="F992" s="35"/>
      <c r="G992" s="35"/>
      <c r="H992" s="36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</row>
    <row r="993" ht="15.75" customHeight="1">
      <c r="A993" s="42"/>
      <c r="B993" s="35"/>
      <c r="C993" s="35"/>
      <c r="D993" s="35"/>
      <c r="E993" s="35"/>
      <c r="F993" s="35"/>
      <c r="G993" s="35"/>
      <c r="H993" s="36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</row>
    <row r="994" ht="15.75" customHeight="1">
      <c r="A994" s="42"/>
      <c r="B994" s="35"/>
      <c r="C994" s="35"/>
      <c r="D994" s="35"/>
      <c r="E994" s="35"/>
      <c r="F994" s="35"/>
      <c r="G994" s="35"/>
      <c r="H994" s="36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</row>
    <row r="995" ht="15.75" customHeight="1">
      <c r="A995" s="42"/>
      <c r="B995" s="35"/>
      <c r="C995" s="35"/>
      <c r="D995" s="35"/>
      <c r="E995" s="35"/>
      <c r="F995" s="35"/>
      <c r="G995" s="35"/>
      <c r="H995" s="36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</row>
    <row r="996" ht="15.75" customHeight="1">
      <c r="A996" s="42"/>
      <c r="B996" s="35"/>
      <c r="C996" s="35"/>
      <c r="D996" s="35"/>
      <c r="E996" s="35"/>
      <c r="F996" s="35"/>
      <c r="G996" s="35"/>
      <c r="H996" s="36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</row>
    <row r="997" ht="15.75" customHeight="1">
      <c r="A997" s="42"/>
      <c r="B997" s="35"/>
      <c r="C997" s="35"/>
      <c r="D997" s="35"/>
      <c r="E997" s="35"/>
      <c r="F997" s="35"/>
      <c r="G997" s="35"/>
      <c r="H997" s="36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</row>
    <row r="998" ht="15.75" customHeight="1">
      <c r="A998" s="42"/>
      <c r="B998" s="35"/>
      <c r="C998" s="35"/>
      <c r="D998" s="35"/>
      <c r="E998" s="35"/>
      <c r="F998" s="35"/>
      <c r="G998" s="35"/>
      <c r="H998" s="36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</row>
    <row r="999" ht="15.75" customHeight="1">
      <c r="A999" s="42"/>
      <c r="B999" s="35"/>
      <c r="C999" s="35"/>
      <c r="D999" s="35"/>
      <c r="E999" s="35"/>
      <c r="F999" s="35"/>
      <c r="G999" s="35"/>
      <c r="H999" s="36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</row>
    <row r="1000" ht="15.75" customHeight="1">
      <c r="A1000" s="42"/>
      <c r="B1000" s="35"/>
      <c r="C1000" s="35"/>
      <c r="D1000" s="35"/>
      <c r="E1000" s="35"/>
      <c r="F1000" s="35"/>
      <c r="G1000" s="35"/>
      <c r="H1000" s="36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</row>
  </sheetData>
  <conditionalFormatting sqref="I1 I6:I29">
    <cfRule type="containsText" dxfId="0" priority="1" operator="containsText" text="ON">
      <formula>NOT(ISERROR(SEARCH(("ON"),(I1))))</formula>
    </cfRule>
  </conditionalFormatting>
  <conditionalFormatting sqref="C1 C6:C29">
    <cfRule type="containsText" dxfId="1" priority="2" operator="containsText" text="IN PROGRESS">
      <formula>NOT(ISERROR(SEARCH(("IN PROGRESS"),(C1))))</formula>
    </cfRule>
  </conditionalFormatting>
  <conditionalFormatting sqref="C1 C6:C29">
    <cfRule type="containsText" dxfId="2" priority="3" operator="containsText" text="CANCELLED">
      <formula>NOT(ISERROR(SEARCH(("CANCELLED"),(C1))))</formula>
    </cfRule>
  </conditionalFormatting>
  <conditionalFormatting sqref="C1 C6:C29">
    <cfRule type="containsText" dxfId="3" priority="4" operator="containsText" text="COMPLETED">
      <formula>NOT(ISERROR(SEARCH(("COMPLETED"),(C1))))</formula>
    </cfRule>
  </conditionalFormatting>
  <conditionalFormatting sqref="I5">
    <cfRule type="containsText" dxfId="0" priority="5" operator="containsText" text="ON">
      <formula>NOT(ISERROR(SEARCH(("ON"),(I5))))</formula>
    </cfRule>
  </conditionalFormatting>
  <conditionalFormatting sqref="C5">
    <cfRule type="containsText" dxfId="1" priority="6" operator="containsText" text="IN PROGRESS">
      <formula>NOT(ISERROR(SEARCH(("IN PROGRESS"),(C5))))</formula>
    </cfRule>
  </conditionalFormatting>
  <conditionalFormatting sqref="C5">
    <cfRule type="containsText" dxfId="2" priority="7" operator="containsText" text="CANCELLED">
      <formula>NOT(ISERROR(SEARCH(("CANCELLED"),(C5))))</formula>
    </cfRule>
  </conditionalFormatting>
  <conditionalFormatting sqref="C5">
    <cfRule type="containsText" dxfId="3" priority="8" operator="containsText" text="COMPLETED">
      <formula>NOT(ISERROR(SEARCH(("COMPLETED"),(C5))))</formula>
    </cfRule>
  </conditionalFormatting>
  <conditionalFormatting sqref="I4">
    <cfRule type="containsText" dxfId="0" priority="9" operator="containsText" text="ON">
      <formula>NOT(ISERROR(SEARCH(("ON"),(I4))))</formula>
    </cfRule>
  </conditionalFormatting>
  <conditionalFormatting sqref="C4">
    <cfRule type="containsText" dxfId="1" priority="10" operator="containsText" text="IN PROGRESS">
      <formula>NOT(ISERROR(SEARCH(("IN PROGRESS"),(C4))))</formula>
    </cfRule>
  </conditionalFormatting>
  <conditionalFormatting sqref="C4">
    <cfRule type="containsText" dxfId="2" priority="11" operator="containsText" text="CANCELLED">
      <formula>NOT(ISERROR(SEARCH(("CANCELLED"),(C4))))</formula>
    </cfRule>
  </conditionalFormatting>
  <conditionalFormatting sqref="C4">
    <cfRule type="containsText" dxfId="3" priority="12" operator="containsText" text="COMPLETED">
      <formula>NOT(ISERROR(SEARCH(("COMPLETED"),(C4))))</formula>
    </cfRule>
  </conditionalFormatting>
  <conditionalFormatting sqref="I3">
    <cfRule type="containsText" dxfId="0" priority="13" operator="containsText" text="ON">
      <formula>NOT(ISERROR(SEARCH(("ON"),(I3))))</formula>
    </cfRule>
  </conditionalFormatting>
  <conditionalFormatting sqref="C3">
    <cfRule type="containsText" dxfId="1" priority="14" operator="containsText" text="IN PROGRESS">
      <formula>NOT(ISERROR(SEARCH(("IN PROGRESS"),(C3))))</formula>
    </cfRule>
  </conditionalFormatting>
  <conditionalFormatting sqref="C3">
    <cfRule type="containsText" dxfId="2" priority="15" operator="containsText" text="CANCELLED">
      <formula>NOT(ISERROR(SEARCH(("CANCELLED"),(C3))))</formula>
    </cfRule>
  </conditionalFormatting>
  <conditionalFormatting sqref="C3">
    <cfRule type="containsText" dxfId="3" priority="16" operator="containsText" text="COMPLETED">
      <formula>NOT(ISERROR(SEARCH(("COMPLETED"),(C3))))</formula>
    </cfRule>
  </conditionalFormatting>
  <conditionalFormatting sqref="I2">
    <cfRule type="containsText" dxfId="0" priority="17" operator="containsText" text="ON">
      <formula>NOT(ISERROR(SEARCH(("ON"),(I2))))</formula>
    </cfRule>
  </conditionalFormatting>
  <conditionalFormatting sqref="C2">
    <cfRule type="containsText" dxfId="1" priority="18" operator="containsText" text="IN PROGRESS">
      <formula>NOT(ISERROR(SEARCH(("IN PROGRESS"),(C2))))</formula>
    </cfRule>
  </conditionalFormatting>
  <conditionalFormatting sqref="C2">
    <cfRule type="containsText" dxfId="2" priority="19" operator="containsText" text="CANCELLED">
      <formula>NOT(ISERROR(SEARCH(("CANCELLED"),(C2))))</formula>
    </cfRule>
  </conditionalFormatting>
  <conditionalFormatting sqref="C2">
    <cfRule type="containsText" dxfId="3" priority="20" operator="containsText" text="COMPLETED">
      <formula>NOT(ISERROR(SEARCH(("COMPLETED"),(C2))))</formula>
    </cfRule>
  </conditionalFormatting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7.86"/>
    <col customWidth="1" min="2" max="2" width="37.86"/>
    <col customWidth="1" min="3" max="3" width="15.71"/>
    <col customWidth="1" min="4" max="4" width="64.57"/>
    <col customWidth="1" min="5" max="5" width="13.86"/>
    <col customWidth="1" min="6" max="6" width="27.43"/>
    <col customWidth="1" min="7" max="7" width="19.57"/>
    <col customWidth="1" min="8" max="8" width="18.71"/>
    <col customWidth="1" min="9" max="9" width="20.71"/>
    <col customWidth="1" min="10" max="10" width="3.0"/>
    <col customWidth="1" min="11" max="19" width="8.71"/>
  </cols>
  <sheetData>
    <row r="1">
      <c r="A1" s="51" t="s">
        <v>57</v>
      </c>
      <c r="B1" s="52" t="s">
        <v>114</v>
      </c>
      <c r="C1" s="53" t="s">
        <v>115</v>
      </c>
      <c r="D1" s="53" t="s">
        <v>116</v>
      </c>
      <c r="E1" s="53" t="s">
        <v>117</v>
      </c>
      <c r="F1" s="53" t="s">
        <v>118</v>
      </c>
      <c r="G1" s="54" t="s">
        <v>119</v>
      </c>
      <c r="H1" s="53" t="s">
        <v>120</v>
      </c>
      <c r="I1" s="53" t="s">
        <v>121</v>
      </c>
      <c r="J1" s="51"/>
    </row>
    <row r="2">
      <c r="A2" s="55"/>
      <c r="B2" s="56" t="s">
        <v>71</v>
      </c>
      <c r="C2" s="57" t="s">
        <v>68</v>
      </c>
      <c r="D2" s="58" t="s">
        <v>122</v>
      </c>
      <c r="E2" s="59" t="s">
        <v>123</v>
      </c>
      <c r="F2" s="60" t="s">
        <v>124</v>
      </c>
      <c r="G2" s="61">
        <v>44589.0</v>
      </c>
      <c r="H2" s="61">
        <v>44599.0</v>
      </c>
      <c r="I2" s="61"/>
      <c r="J2" s="27" t="s">
        <v>66</v>
      </c>
      <c r="K2" s="2"/>
      <c r="L2" s="2"/>
      <c r="M2" s="2"/>
      <c r="N2" s="2"/>
      <c r="O2" s="2"/>
      <c r="P2" s="2"/>
      <c r="Q2" s="2"/>
      <c r="R2" s="2"/>
      <c r="S2" s="2"/>
    </row>
    <row r="3">
      <c r="A3" s="55"/>
      <c r="B3" s="56" t="s">
        <v>71</v>
      </c>
      <c r="C3" s="57" t="str">
        <f>IF(OR('Action Log'!$G3="",'Action Log'!$G3&gt;TODAY()),"PLANNED",IF('Action Log'!$H3="","",IF('Action Log'!$I3="",IF(TODAY()&gt;='Action Log'!$H3,"IN PROGRESS (LATE)","IN PROGRESS"),IF('Action Log'!$H3&lt;'Action Log'!$I3,"DONE (LATE)","DONE"))))</f>
        <v>DONE</v>
      </c>
      <c r="D3" s="58" t="s">
        <v>125</v>
      </c>
      <c r="E3" s="59" t="s">
        <v>123</v>
      </c>
      <c r="F3" s="60" t="s">
        <v>7</v>
      </c>
      <c r="G3" s="61">
        <v>44588.0</v>
      </c>
      <c r="H3" s="61">
        <v>44592.0</v>
      </c>
      <c r="I3" s="61">
        <v>44589.0</v>
      </c>
      <c r="J3" s="27" t="s">
        <v>66</v>
      </c>
      <c r="K3" s="2"/>
      <c r="L3" s="2"/>
      <c r="M3" s="2"/>
      <c r="N3" s="2"/>
      <c r="O3" s="2"/>
      <c r="P3" s="2"/>
      <c r="Q3" s="2"/>
      <c r="R3" s="2"/>
      <c r="S3" s="2"/>
    </row>
    <row r="4">
      <c r="A4" s="55"/>
      <c r="B4" s="56" t="s">
        <v>74</v>
      </c>
      <c r="C4" s="57" t="str">
        <f>IF(OR('Action Log'!$G4="",'Action Log'!$G4&gt;TODAY()),"PLANNED",IF('Action Log'!$H4="","",IF('Action Log'!$I4="",IF(TODAY()&gt;='Action Log'!$H4,"IN PROGRESS (LATE)","IN PROGRESS"),IF('Action Log'!$H4&lt;'Action Log'!$I4,"DONE (LATE)","DONE"))))</f>
        <v>DONE</v>
      </c>
      <c r="D4" s="58" t="s">
        <v>21</v>
      </c>
      <c r="E4" s="59" t="s">
        <v>123</v>
      </c>
      <c r="F4" s="60" t="s">
        <v>7</v>
      </c>
      <c r="G4" s="61">
        <v>44582.0</v>
      </c>
      <c r="H4" s="61">
        <v>44582.0</v>
      </c>
      <c r="I4" s="61">
        <v>44582.0</v>
      </c>
      <c r="J4" s="27" t="s">
        <v>66</v>
      </c>
      <c r="K4" s="2"/>
      <c r="L4" s="2"/>
      <c r="M4" s="2"/>
      <c r="N4" s="2"/>
      <c r="O4" s="2"/>
      <c r="P4" s="2"/>
      <c r="Q4" s="2"/>
      <c r="R4" s="2"/>
      <c r="S4" s="2"/>
    </row>
    <row r="5">
      <c r="A5" s="55"/>
      <c r="B5" s="56" t="s">
        <v>74</v>
      </c>
      <c r="C5" s="57" t="str">
        <f>IF(OR('Action Log'!$G5="",'Action Log'!$G5&gt;TODAY()),"PLANNED",IF('Action Log'!$H5="","",IF('Action Log'!$I5="",IF(TODAY()&gt;='Action Log'!$H5,"IN PROGRESS (LATE)","IN PROGRESS"),IF('Action Log'!$H5&lt;'Action Log'!$I5,"DONE (LATE)","DONE"))))</f>
        <v>DONE</v>
      </c>
      <c r="D5" s="58" t="s">
        <v>22</v>
      </c>
      <c r="E5" s="59" t="s">
        <v>123</v>
      </c>
      <c r="F5" s="60" t="s">
        <v>23</v>
      </c>
      <c r="G5" s="61">
        <v>44582.0</v>
      </c>
      <c r="H5" s="61">
        <v>44583.0</v>
      </c>
      <c r="I5" s="61">
        <v>44583.0</v>
      </c>
      <c r="J5" s="27" t="s">
        <v>66</v>
      </c>
      <c r="K5" s="2"/>
      <c r="L5" s="2"/>
      <c r="M5" s="2"/>
      <c r="N5" s="2"/>
      <c r="O5" s="2"/>
      <c r="P5" s="2"/>
      <c r="Q5" s="2"/>
      <c r="R5" s="2"/>
      <c r="S5" s="2"/>
    </row>
    <row r="6">
      <c r="A6" s="55"/>
      <c r="B6" s="56" t="s">
        <v>74</v>
      </c>
      <c r="C6" s="57" t="str">
        <f>IF(OR('Action Log'!$G6="",'Action Log'!$G6&gt;TODAY()),"PLANNED",IF('Action Log'!$H6="","",IF('Action Log'!$I6="",IF(TODAY()&gt;='Action Log'!$H6,"IN PROGRESS (LATE)","IN PROGRESS"),IF('Action Log'!$H6&lt;'Action Log'!$I6,"DONE (LATE)","DONE"))))</f>
        <v>DONE</v>
      </c>
      <c r="D6" s="7" t="s">
        <v>24</v>
      </c>
      <c r="E6" s="59" t="s">
        <v>123</v>
      </c>
      <c r="F6" s="60" t="s">
        <v>9</v>
      </c>
      <c r="G6" s="61">
        <v>44582.0</v>
      </c>
      <c r="H6" s="61">
        <v>44583.0</v>
      </c>
      <c r="I6" s="61">
        <v>44583.0</v>
      </c>
      <c r="J6" s="27" t="s">
        <v>66</v>
      </c>
      <c r="K6" s="2"/>
      <c r="L6" s="2"/>
      <c r="M6" s="2"/>
      <c r="N6" s="2"/>
      <c r="O6" s="2"/>
      <c r="P6" s="2"/>
      <c r="Q6" s="2"/>
      <c r="R6" s="2"/>
      <c r="S6" s="2"/>
    </row>
    <row r="7">
      <c r="A7" s="55"/>
      <c r="B7" s="56" t="s">
        <v>74</v>
      </c>
      <c r="C7" s="57" t="str">
        <f>IF(OR('Action Log'!$G7="",'Action Log'!$G7&gt;TODAY()),"PLANNED",IF('Action Log'!$H7="","",IF('Action Log'!$I7="",IF(TODAY()&gt;='Action Log'!$H7,"IN PROGRESS (LATE)","IN PROGRESS"),IF('Action Log'!$H7&lt;'Action Log'!$I7,"DONE (LATE)","DONE"))))</f>
        <v>DONE</v>
      </c>
      <c r="D7" s="7" t="s">
        <v>25</v>
      </c>
      <c r="E7" s="59" t="s">
        <v>123</v>
      </c>
      <c r="F7" s="60" t="s">
        <v>11</v>
      </c>
      <c r="G7" s="61">
        <v>44582.0</v>
      </c>
      <c r="H7" s="61">
        <v>44583.0</v>
      </c>
      <c r="I7" s="61">
        <v>44583.0</v>
      </c>
      <c r="J7" s="27" t="s">
        <v>66</v>
      </c>
      <c r="K7" s="2"/>
      <c r="L7" s="2"/>
      <c r="M7" s="2"/>
      <c r="N7" s="2"/>
      <c r="O7" s="2"/>
      <c r="P7" s="2"/>
      <c r="Q7" s="2"/>
      <c r="R7" s="2"/>
      <c r="S7" s="2"/>
    </row>
    <row r="8">
      <c r="A8" s="55"/>
      <c r="B8" s="56" t="s">
        <v>74</v>
      </c>
      <c r="C8" s="57" t="str">
        <f>IF(OR('Action Log'!$G8="",'Action Log'!$G8&gt;TODAY()),"PLANNED",IF('Action Log'!$H8="","",IF('Action Log'!$I8="",IF(TODAY()&gt;='Action Log'!$H8,"IN PROGRESS (LATE)","IN PROGRESS"),IF('Action Log'!$H8&lt;'Action Log'!$I8,"DONE (LATE)","DONE"))))</f>
        <v>DONE (LATE)</v>
      </c>
      <c r="D8" s="62" t="s">
        <v>27</v>
      </c>
      <c r="E8" s="63" t="s">
        <v>123</v>
      </c>
      <c r="F8" s="62" t="s">
        <v>28</v>
      </c>
      <c r="G8" s="61">
        <v>44578.0</v>
      </c>
      <c r="H8" s="61">
        <v>44580.0</v>
      </c>
      <c r="I8" s="61">
        <v>44581.0</v>
      </c>
      <c r="J8" s="27" t="s">
        <v>66</v>
      </c>
      <c r="K8" s="2"/>
      <c r="L8" s="2"/>
      <c r="M8" s="2"/>
      <c r="N8" s="2"/>
      <c r="O8" s="2"/>
      <c r="P8" s="2"/>
      <c r="Q8" s="2"/>
      <c r="R8" s="2"/>
      <c r="S8" s="2"/>
    </row>
    <row r="9">
      <c r="A9" s="55"/>
      <c r="B9" s="56" t="s">
        <v>73</v>
      </c>
      <c r="C9" s="57" t="str">
        <f>IF(OR('Action Log'!$G9="",'Action Log'!$G9&gt;TODAY()),"PLANNED",IF('Action Log'!$H9="","",IF('Action Log'!$I9="",IF(TODAY()&gt;='Action Log'!$H9,"IN PROGRESS (LATE)","IN PROGRESS"),IF('Action Log'!$H9&lt;'Action Log'!$I9,"DONE (LATE)","DONE"))))</f>
        <v>IN PROGRESS (LATE)</v>
      </c>
      <c r="D9" s="58" t="s">
        <v>18</v>
      </c>
      <c r="E9" s="59" t="s">
        <v>123</v>
      </c>
      <c r="F9" s="58" t="s">
        <v>126</v>
      </c>
      <c r="G9" s="61">
        <v>44525.0</v>
      </c>
      <c r="H9" s="61">
        <v>44576.0</v>
      </c>
      <c r="I9" s="61"/>
      <c r="J9" s="27" t="s">
        <v>66</v>
      </c>
      <c r="K9" s="2"/>
      <c r="L9" s="2"/>
      <c r="M9" s="2"/>
      <c r="N9" s="2"/>
      <c r="O9" s="2"/>
      <c r="P9" s="2"/>
      <c r="Q9" s="2"/>
      <c r="R9" s="2"/>
      <c r="S9" s="2"/>
    </row>
    <row r="10">
      <c r="A10" s="55"/>
      <c r="B10" s="56" t="s">
        <v>74</v>
      </c>
      <c r="C10" s="57" t="str">
        <f>IF(OR('Action Log'!$G10="",'Action Log'!$G10&gt;TODAY()),"PLANNED",IF('Action Log'!$H10="","",IF('Action Log'!$I10="",IF(TODAY()&gt;='Action Log'!$H10,"IN PROGRESS (LATE)","IN PROGRESS"),IF('Action Log'!$H10&lt;'Action Log'!$I10,"DONE (LATE)","DONE"))))</f>
        <v>DONE</v>
      </c>
      <c r="D10" s="58" t="s">
        <v>24</v>
      </c>
      <c r="E10" s="59" t="s">
        <v>123</v>
      </c>
      <c r="F10" s="58" t="s">
        <v>9</v>
      </c>
      <c r="G10" s="61">
        <v>44574.0</v>
      </c>
      <c r="H10" s="61">
        <v>44576.0</v>
      </c>
      <c r="I10" s="61">
        <v>44575.0</v>
      </c>
      <c r="J10" s="27" t="s">
        <v>66</v>
      </c>
      <c r="K10" s="2"/>
      <c r="L10" s="2"/>
      <c r="M10" s="2"/>
      <c r="N10" s="2"/>
      <c r="O10" s="2"/>
      <c r="P10" s="2"/>
      <c r="Q10" s="2"/>
      <c r="R10" s="2"/>
      <c r="S10" s="2"/>
    </row>
    <row r="11">
      <c r="A11" s="55"/>
      <c r="B11" s="56" t="s">
        <v>74</v>
      </c>
      <c r="C11" s="57" t="str">
        <f>IF(OR('Action Log'!$G11="",'Action Log'!$G11&gt;TODAY()),"PLANNED",IF('Action Log'!$H11="","",IF('Action Log'!$I11="",IF(TODAY()&gt;='Action Log'!$H11,"IN PROGRESS (LATE)","IN PROGRESS"),IF('Action Log'!$H11&lt;'Action Log'!$I11,"DONE (LATE)","DONE"))))</f>
        <v>DONE</v>
      </c>
      <c r="D11" s="58" t="s">
        <v>21</v>
      </c>
      <c r="E11" s="59" t="s">
        <v>123</v>
      </c>
      <c r="F11" s="58" t="s">
        <v>7</v>
      </c>
      <c r="G11" s="61">
        <v>44571.0</v>
      </c>
      <c r="H11" s="61">
        <v>44571.0</v>
      </c>
      <c r="I11" s="61">
        <v>44571.0</v>
      </c>
      <c r="J11" s="27" t="s">
        <v>66</v>
      </c>
      <c r="K11" s="2"/>
      <c r="L11" s="2"/>
      <c r="M11" s="2"/>
      <c r="N11" s="2"/>
      <c r="O11" s="2"/>
      <c r="P11" s="2"/>
      <c r="Q11" s="2"/>
      <c r="R11" s="2"/>
      <c r="S11" s="2"/>
    </row>
    <row r="12">
      <c r="A12" s="55"/>
      <c r="B12" s="56" t="s">
        <v>71</v>
      </c>
      <c r="C12" s="57" t="str">
        <f>IF(OR('Action Log'!$G12="",'Action Log'!$G12&gt;TODAY()),"PLANNED",IF('Action Log'!$H12="","",IF('Action Log'!$I12="",IF(TODAY()&gt;='Action Log'!$H12,"IN PROGRESS (LATE)","IN PROGRESS"),IF('Action Log'!$H12&lt;'Action Log'!$I12,"DONE (LATE)","DONE"))))</f>
        <v>DONE (LATE)</v>
      </c>
      <c r="D12" s="58" t="s">
        <v>127</v>
      </c>
      <c r="E12" s="59" t="s">
        <v>128</v>
      </c>
      <c r="F12" s="58" t="s">
        <v>126</v>
      </c>
      <c r="G12" s="61">
        <v>44578.0</v>
      </c>
      <c r="H12" s="61">
        <v>44578.0</v>
      </c>
      <c r="I12" s="61">
        <v>44585.0</v>
      </c>
      <c r="J12" s="27" t="s">
        <v>66</v>
      </c>
      <c r="K12" s="2"/>
      <c r="L12" s="2"/>
      <c r="M12" s="2"/>
      <c r="N12" s="2"/>
      <c r="O12" s="2"/>
      <c r="P12" s="2"/>
      <c r="Q12" s="2"/>
      <c r="R12" s="2"/>
      <c r="S12" s="2"/>
    </row>
    <row r="13">
      <c r="A13" s="55"/>
      <c r="B13" s="56" t="s">
        <v>74</v>
      </c>
      <c r="C13" s="57" t="str">
        <f>IF(OR('Action Log'!$G13="",'Action Log'!$G13&gt;TODAY()),"PLANNED",IF('Action Log'!$H13="","",IF('Action Log'!$I13="",IF(TODAY()&gt;='Action Log'!$H13,"IN PROGRESS (LATE)","IN PROGRESS"),IF('Action Log'!$H13&lt;'Action Log'!$I13,"DONE (LATE)","DONE"))))</f>
        <v>DONE</v>
      </c>
      <c r="D13" s="58" t="s">
        <v>22</v>
      </c>
      <c r="E13" s="59" t="s">
        <v>123</v>
      </c>
      <c r="F13" s="58" t="s">
        <v>124</v>
      </c>
      <c r="G13" s="61">
        <v>44571.0</v>
      </c>
      <c r="H13" s="61">
        <v>44578.0</v>
      </c>
      <c r="I13" s="61">
        <v>44578.0</v>
      </c>
      <c r="J13" s="27" t="s">
        <v>66</v>
      </c>
      <c r="K13" s="2"/>
      <c r="L13" s="2"/>
      <c r="M13" s="2"/>
      <c r="N13" s="2"/>
      <c r="O13" s="2"/>
      <c r="P13" s="2"/>
      <c r="Q13" s="2"/>
      <c r="R13" s="2"/>
      <c r="S13" s="2"/>
    </row>
    <row r="14">
      <c r="A14" s="55"/>
      <c r="B14" s="56" t="s">
        <v>74</v>
      </c>
      <c r="C14" s="57" t="str">
        <f>IF(OR('Action Log'!$G14="",'Action Log'!$G14&gt;TODAY()),"PLANNED",IF('Action Log'!$H14="","",IF('Action Log'!$I14="",IF(TODAY()&gt;='Action Log'!$H14,"IN PROGRESS (LATE)","IN PROGRESS"),IF('Action Log'!$H14&lt;'Action Log'!$I14,"DONE (LATE)","DONE"))))</f>
        <v>DONE</v>
      </c>
      <c r="D14" s="58" t="s">
        <v>18</v>
      </c>
      <c r="E14" s="59" t="s">
        <v>128</v>
      </c>
      <c r="F14" s="58" t="s">
        <v>19</v>
      </c>
      <c r="G14" s="61">
        <v>44569.0</v>
      </c>
      <c r="H14" s="61">
        <v>44569.0</v>
      </c>
      <c r="I14" s="61">
        <v>44569.0</v>
      </c>
      <c r="J14" s="27" t="s">
        <v>66</v>
      </c>
      <c r="K14" s="2"/>
      <c r="L14" s="2"/>
      <c r="M14" s="2"/>
      <c r="N14" s="2"/>
      <c r="O14" s="2"/>
      <c r="P14" s="2"/>
      <c r="Q14" s="2"/>
      <c r="R14" s="2"/>
      <c r="S14" s="2"/>
    </row>
    <row r="15">
      <c r="A15" s="55"/>
      <c r="B15" s="56" t="s">
        <v>74</v>
      </c>
      <c r="C15" s="57" t="str">
        <f>IF(OR('Action Log'!$G15="",'Action Log'!$G15&gt;TODAY()),"PLANNED",IF('Action Log'!$H15="","",IF('Action Log'!$I15="",IF(TODAY()&gt;='Action Log'!$H15,"IN PROGRESS (LATE)","IN PROGRESS"),IF('Action Log'!$H15&lt;'Action Log'!$I15,"DONE (LATE)","DONE"))))</f>
        <v>DONE</v>
      </c>
      <c r="D15" s="58" t="s">
        <v>16</v>
      </c>
      <c r="E15" s="59" t="s">
        <v>128</v>
      </c>
      <c r="F15" s="58" t="s">
        <v>17</v>
      </c>
      <c r="G15" s="61">
        <v>44569.0</v>
      </c>
      <c r="H15" s="61">
        <v>44569.0</v>
      </c>
      <c r="I15" s="61">
        <v>44569.0</v>
      </c>
      <c r="J15" s="27" t="s">
        <v>66</v>
      </c>
      <c r="K15" s="2"/>
      <c r="L15" s="2"/>
      <c r="M15" s="2"/>
      <c r="N15" s="2"/>
      <c r="O15" s="2"/>
      <c r="P15" s="2"/>
      <c r="Q15" s="2"/>
      <c r="R15" s="2"/>
      <c r="S15" s="2"/>
    </row>
    <row r="16">
      <c r="A16" s="55"/>
      <c r="B16" s="56" t="s">
        <v>74</v>
      </c>
      <c r="C16" s="57" t="str">
        <f>IF(OR('Action Log'!$G16="",'Action Log'!$G16&gt;TODAY()),"PLANNED",IF('Action Log'!$H16="","",IF('Action Log'!$I16="",IF(TODAY()&gt;='Action Log'!$H16,"IN PROGRESS (LATE)","IN PROGRESS"),IF('Action Log'!$H16&lt;'Action Log'!$I16,"DONE (LATE)","DONE"))))</f>
        <v>DONE</v>
      </c>
      <c r="D16" s="58" t="s">
        <v>18</v>
      </c>
      <c r="E16" s="59" t="s">
        <v>128</v>
      </c>
      <c r="F16" s="58" t="s">
        <v>19</v>
      </c>
      <c r="G16" s="61">
        <v>44569.0</v>
      </c>
      <c r="H16" s="61">
        <v>44569.0</v>
      </c>
      <c r="I16" s="61">
        <v>44569.0</v>
      </c>
      <c r="J16" s="27" t="s">
        <v>66</v>
      </c>
      <c r="K16" s="2"/>
      <c r="L16" s="2"/>
      <c r="M16" s="2"/>
      <c r="N16" s="2"/>
      <c r="O16" s="2"/>
      <c r="P16" s="2"/>
      <c r="Q16" s="2"/>
      <c r="R16" s="2"/>
      <c r="S16" s="2"/>
    </row>
    <row r="17">
      <c r="A17" s="55"/>
      <c r="B17" s="56" t="s">
        <v>74</v>
      </c>
      <c r="C17" s="57" t="str">
        <f>IF(OR('Action Log'!$G17="",'Action Log'!$G17&gt;TODAY()),"PLANNED",IF('Action Log'!$H17="","",IF('Action Log'!$I17="",IF(TODAY()&gt;='Action Log'!$H17,"IN PROGRESS (LATE)","IN PROGRESS"),IF('Action Log'!$H17&lt;'Action Log'!$I17,"DONE (LATE)","DONE"))))</f>
        <v>DONE</v>
      </c>
      <c r="D17" s="58" t="s">
        <v>129</v>
      </c>
      <c r="E17" s="59" t="s">
        <v>128</v>
      </c>
      <c r="F17" s="58" t="s">
        <v>7</v>
      </c>
      <c r="G17" s="61">
        <v>44568.0</v>
      </c>
      <c r="H17" s="61">
        <v>44569.0</v>
      </c>
      <c r="I17" s="61">
        <v>44569.0</v>
      </c>
      <c r="J17" s="27" t="s">
        <v>66</v>
      </c>
      <c r="K17" s="2"/>
      <c r="L17" s="2"/>
      <c r="M17" s="2"/>
      <c r="N17" s="2"/>
      <c r="O17" s="2"/>
      <c r="P17" s="2"/>
      <c r="Q17" s="2"/>
      <c r="R17" s="2"/>
      <c r="S17" s="2"/>
    </row>
    <row r="18">
      <c r="A18" s="55"/>
      <c r="B18" s="56" t="s">
        <v>74</v>
      </c>
      <c r="C18" s="57" t="str">
        <f>IF(OR('Action Log'!$G18="",'Action Log'!$G18&gt;TODAY()),"PLANNED",IF('Action Log'!$H18="","",IF('Action Log'!$I18="",IF(TODAY()&gt;='Action Log'!$H18,"IN PROGRESS (LATE)","IN PROGRESS"),IF('Action Log'!$H18&lt;'Action Log'!$I18,"DONE (LATE)","DONE"))))</f>
        <v>DONE</v>
      </c>
      <c r="D18" s="58" t="s">
        <v>129</v>
      </c>
      <c r="E18" s="59" t="s">
        <v>128</v>
      </c>
      <c r="F18" s="58" t="s">
        <v>7</v>
      </c>
      <c r="G18" s="61">
        <v>44568.0</v>
      </c>
      <c r="H18" s="61">
        <v>44569.0</v>
      </c>
      <c r="I18" s="61">
        <v>44569.0</v>
      </c>
      <c r="J18" s="27" t="s">
        <v>66</v>
      </c>
      <c r="K18" s="2"/>
      <c r="L18" s="2"/>
      <c r="M18" s="2"/>
      <c r="N18" s="2"/>
      <c r="O18" s="2"/>
      <c r="P18" s="2"/>
      <c r="Q18" s="2"/>
      <c r="R18" s="2"/>
      <c r="S18" s="2"/>
    </row>
    <row r="19">
      <c r="A19" s="55"/>
      <c r="B19" s="56" t="s">
        <v>74</v>
      </c>
      <c r="C19" s="57" t="str">
        <f>IF(OR('Action Log'!$G19="",'Action Log'!$G19&gt;TODAY()),"PLANNED",IF('Action Log'!$H19="","",IF('Action Log'!$I19="",IF(TODAY()&gt;='Action Log'!$H19,"IN PROGRESS (LATE)","IN PROGRESS"),IF('Action Log'!$H19&lt;'Action Log'!$I19,"DONE (LATE)","DONE"))))</f>
        <v>DONE</v>
      </c>
      <c r="D19" s="58" t="s">
        <v>14</v>
      </c>
      <c r="E19" s="59" t="s">
        <v>128</v>
      </c>
      <c r="F19" s="58" t="s">
        <v>15</v>
      </c>
      <c r="G19" s="61">
        <v>44567.0</v>
      </c>
      <c r="H19" s="61">
        <v>44567.0</v>
      </c>
      <c r="I19" s="61">
        <v>44563.0</v>
      </c>
      <c r="J19" s="27" t="s">
        <v>66</v>
      </c>
      <c r="K19" s="2"/>
      <c r="L19" s="2"/>
      <c r="M19" s="2"/>
      <c r="N19" s="2"/>
      <c r="O19" s="2"/>
      <c r="P19" s="2"/>
      <c r="Q19" s="2"/>
      <c r="R19" s="2"/>
      <c r="S19" s="2"/>
    </row>
    <row r="20">
      <c r="A20" s="55"/>
      <c r="B20" s="56" t="s">
        <v>102</v>
      </c>
      <c r="C20" s="57" t="str">
        <f>IF(OR('Action Log'!$G20="",'Action Log'!$G20&gt;TODAY()),"PLANNED",IF('Action Log'!$H20="","",IF('Action Log'!$I20="",IF(TODAY()&gt;='Action Log'!$H20,"IN PROGRESS (LATE)","IN PROGRESS"),IF('Action Log'!$H20&lt;'Action Log'!$I20,"DONE (LATE)","DONE"))))</f>
        <v>DONE</v>
      </c>
      <c r="D20" s="58" t="s">
        <v>130</v>
      </c>
      <c r="E20" s="59" t="s">
        <v>128</v>
      </c>
      <c r="F20" s="58" t="s">
        <v>126</v>
      </c>
      <c r="G20" s="61">
        <v>44331.0</v>
      </c>
      <c r="H20" s="61">
        <v>44543.0</v>
      </c>
      <c r="I20" s="61">
        <v>44543.0</v>
      </c>
      <c r="J20" s="27" t="s">
        <v>66</v>
      </c>
      <c r="K20" s="2"/>
      <c r="L20" s="2"/>
      <c r="M20" s="2"/>
      <c r="N20" s="2"/>
      <c r="O20" s="2"/>
      <c r="P20" s="2"/>
      <c r="Q20" s="2"/>
      <c r="R20" s="2"/>
      <c r="S20" s="2"/>
    </row>
    <row r="21" ht="15.75" customHeight="1">
      <c r="A21" s="55"/>
      <c r="B21" s="56" t="s">
        <v>67</v>
      </c>
      <c r="C21" s="57" t="str">
        <f>IF(OR('Action Log'!$G21="",'Action Log'!$G21&gt;TODAY()),"PLANNED",IF('Action Log'!$H21="","",IF('Action Log'!$I21="",IF(TODAY()&gt;='Action Log'!$H21,"IN PROGRESS (LATE)","IN PROGRESS"),IF('Action Log'!$H21&lt;'Action Log'!$I21,"DONE (LATE)","DONE"))))</f>
        <v>DONE</v>
      </c>
      <c r="D21" s="62" t="s">
        <v>10</v>
      </c>
      <c r="E21" s="59" t="s">
        <v>128</v>
      </c>
      <c r="F21" s="64" t="s">
        <v>11</v>
      </c>
      <c r="G21" s="61">
        <v>44540.0</v>
      </c>
      <c r="H21" s="61">
        <v>44541.0</v>
      </c>
      <c r="I21" s="61">
        <v>44540.0</v>
      </c>
      <c r="J21" s="27" t="s">
        <v>66</v>
      </c>
      <c r="K21" s="2"/>
      <c r="L21" s="2"/>
      <c r="M21" s="2"/>
      <c r="N21" s="2"/>
      <c r="O21" s="2"/>
      <c r="P21" s="2"/>
      <c r="Q21" s="2"/>
      <c r="R21" s="2"/>
      <c r="S21" s="2"/>
    </row>
    <row r="22" ht="15.75" customHeight="1">
      <c r="A22" s="55"/>
      <c r="B22" s="56" t="s">
        <v>74</v>
      </c>
      <c r="C22" s="57" t="str">
        <f>IF(OR('Action Log'!$G22="",'Action Log'!$G22&gt;TODAY()),"PLANNED",IF('Action Log'!$H22="","",IF('Action Log'!$I22="",IF(TODAY()&gt;='Action Log'!$H22,"IN PROGRESS (LATE)","IN PROGRESS"),IF('Action Log'!$H22&lt;'Action Log'!$I22,"DONE (LATE)","DONE"))))</f>
        <v>DONE</v>
      </c>
      <c r="D22" s="58" t="s">
        <v>14</v>
      </c>
      <c r="E22" s="59" t="s">
        <v>128</v>
      </c>
      <c r="F22" s="58" t="s">
        <v>15</v>
      </c>
      <c r="G22" s="61">
        <v>44567.0</v>
      </c>
      <c r="H22" s="61">
        <v>44567.0</v>
      </c>
      <c r="I22" s="61">
        <v>44563.0</v>
      </c>
      <c r="J22" s="27" t="s">
        <v>66</v>
      </c>
      <c r="K22" s="2"/>
      <c r="L22" s="2"/>
      <c r="M22" s="2"/>
      <c r="N22" s="2"/>
      <c r="O22" s="2"/>
      <c r="P22" s="2"/>
      <c r="Q22" s="2"/>
      <c r="R22" s="2"/>
      <c r="S22" s="2"/>
    </row>
    <row r="23" ht="15.75" customHeight="1">
      <c r="A23" s="55"/>
      <c r="B23" s="56" t="s">
        <v>74</v>
      </c>
      <c r="C23" s="57" t="str">
        <f>IF(OR('Action Log'!$G23="",'Action Log'!$G23&gt;TODAY()),"PLANNED",IF('Action Log'!$H23="","",IF('Action Log'!$I23="",IF(TODAY()&gt;='Action Log'!$H23,"IN PROGRESS (LATE)","IN PROGRESS"),IF('Action Log'!$H23&lt;'Action Log'!$I23,"DONE (LATE)","DONE"))))</f>
        <v>DONE</v>
      </c>
      <c r="D23" s="58" t="s">
        <v>16</v>
      </c>
      <c r="E23" s="59" t="s">
        <v>128</v>
      </c>
      <c r="F23" s="58" t="s">
        <v>17</v>
      </c>
      <c r="G23" s="61">
        <v>44567.0</v>
      </c>
      <c r="H23" s="61">
        <v>44567.0</v>
      </c>
      <c r="I23" s="61">
        <v>44567.0</v>
      </c>
      <c r="J23" s="27" t="s">
        <v>66</v>
      </c>
      <c r="K23" s="2"/>
      <c r="L23" s="2"/>
      <c r="M23" s="2"/>
      <c r="N23" s="2"/>
      <c r="O23" s="2"/>
      <c r="P23" s="2"/>
      <c r="Q23" s="2"/>
      <c r="R23" s="2"/>
      <c r="S23" s="2"/>
    </row>
    <row r="24" ht="15.75" customHeight="1">
      <c r="A24" s="55"/>
      <c r="B24" s="56" t="s">
        <v>74</v>
      </c>
      <c r="C24" s="57" t="str">
        <f>IF(OR('Action Log'!$G24="",'Action Log'!$G24&gt;TODAY()),"PLANNED",IF('Action Log'!$H24="","",IF('Action Log'!$I24="",IF(TODAY()&gt;='Action Log'!$H24,"IN PROGRESS (LATE)","IN PROGRESS"),IF('Action Log'!$H24&lt;'Action Log'!$I24,"DONE (LATE)","DONE"))))</f>
        <v>DONE</v>
      </c>
      <c r="D24" s="58" t="s">
        <v>12</v>
      </c>
      <c r="E24" s="59" t="s">
        <v>128</v>
      </c>
      <c r="F24" s="58" t="s">
        <v>13</v>
      </c>
      <c r="G24" s="61">
        <v>44549.0</v>
      </c>
      <c r="H24" s="61">
        <v>44564.0</v>
      </c>
      <c r="I24" s="61">
        <v>44553.0</v>
      </c>
      <c r="J24" s="27" t="s">
        <v>66</v>
      </c>
      <c r="K24" s="2"/>
      <c r="L24" s="2"/>
      <c r="M24" s="2"/>
      <c r="N24" s="2"/>
      <c r="O24" s="2"/>
      <c r="P24" s="2"/>
      <c r="Q24" s="2"/>
      <c r="R24" s="2"/>
      <c r="S24" s="2"/>
    </row>
    <row r="25" ht="15.75" customHeight="1">
      <c r="A25" s="55"/>
      <c r="B25" s="56" t="s">
        <v>67</v>
      </c>
      <c r="C25" s="57" t="str">
        <f>IF(OR('Action Log'!$G25="",'Action Log'!$G25&gt;TODAY()),"PLANNED",IF('Action Log'!$H25="","",IF('Action Log'!$I25="",IF(TODAY()&gt;='Action Log'!$H25,"IN PROGRESS (LATE)","IN PROGRESS"),IF('Action Log'!$H25&lt;'Action Log'!$I25,"DONE (LATE)","DONE"))))</f>
        <v>DONE</v>
      </c>
      <c r="D25" s="58" t="s">
        <v>12</v>
      </c>
      <c r="E25" s="59" t="s">
        <v>128</v>
      </c>
      <c r="F25" s="58" t="s">
        <v>13</v>
      </c>
      <c r="G25" s="61">
        <v>44540.0</v>
      </c>
      <c r="H25" s="61">
        <v>44541.0</v>
      </c>
      <c r="I25" s="61">
        <v>44541.0</v>
      </c>
      <c r="J25" s="27" t="s">
        <v>66</v>
      </c>
      <c r="K25" s="2"/>
      <c r="L25" s="2"/>
      <c r="M25" s="2"/>
      <c r="N25" s="2"/>
      <c r="O25" s="2"/>
      <c r="P25" s="2"/>
      <c r="Q25" s="2"/>
      <c r="R25" s="2"/>
      <c r="S25" s="2"/>
    </row>
    <row r="26" ht="15.75" customHeight="1">
      <c r="A26" s="55"/>
      <c r="B26" s="56" t="s">
        <v>67</v>
      </c>
      <c r="C26" s="57" t="str">
        <f>IF(OR('Action Log'!$G26="",'Action Log'!$G26&gt;TODAY()),"PLANNED",IF('Action Log'!$H26="","",IF('Action Log'!$I26="",IF(TODAY()&gt;='Action Log'!$H26,"IN PROGRESS (LATE)","IN PROGRESS"),IF('Action Log'!$H26&lt;'Action Log'!$I26,"DONE (LATE)","DONE"))))</f>
        <v>DONE</v>
      </c>
      <c r="D26" s="58" t="s">
        <v>6</v>
      </c>
      <c r="E26" s="59" t="s">
        <v>128</v>
      </c>
      <c r="F26" s="58" t="s">
        <v>7</v>
      </c>
      <c r="G26" s="61">
        <v>44540.0</v>
      </c>
      <c r="H26" s="61">
        <v>44540.0</v>
      </c>
      <c r="I26" s="61">
        <v>44540.0</v>
      </c>
      <c r="J26" s="27" t="s">
        <v>66</v>
      </c>
      <c r="K26" s="2"/>
      <c r="L26" s="2"/>
      <c r="M26" s="2"/>
      <c r="N26" s="2"/>
      <c r="O26" s="2"/>
      <c r="P26" s="2"/>
      <c r="Q26" s="2"/>
      <c r="R26" s="2"/>
      <c r="S26" s="2"/>
    </row>
    <row r="27" ht="15.75" customHeight="1">
      <c r="A27" s="55"/>
      <c r="B27" s="56" t="s">
        <v>74</v>
      </c>
      <c r="C27" s="57" t="str">
        <f>IF(OR('Action Log'!$G27="",'Action Log'!$G27&gt;TODAY()),"PLANNED",IF('Action Log'!$H27="","",IF('Action Log'!$I27="",IF(TODAY()&gt;='Action Log'!$H27,"IN PROGRESS (LATE)","IN PROGRESS"),IF('Action Log'!$H27&lt;'Action Log'!$I27,"DONE (LATE)","DONE"))))</f>
        <v>DONE</v>
      </c>
      <c r="D27" s="58" t="s">
        <v>12</v>
      </c>
      <c r="E27" s="59" t="s">
        <v>128</v>
      </c>
      <c r="F27" s="58" t="s">
        <v>13</v>
      </c>
      <c r="G27" s="61">
        <v>44549.0</v>
      </c>
      <c r="H27" s="61">
        <v>44564.0</v>
      </c>
      <c r="I27" s="61">
        <v>44553.0</v>
      </c>
      <c r="J27" s="27" t="s">
        <v>66</v>
      </c>
      <c r="K27" s="2"/>
      <c r="L27" s="2"/>
      <c r="M27" s="2"/>
      <c r="N27" s="2"/>
      <c r="O27" s="2"/>
      <c r="P27" s="2"/>
      <c r="Q27" s="2"/>
      <c r="R27" s="2"/>
      <c r="S27" s="2"/>
    </row>
    <row r="28" ht="15.75" customHeight="1">
      <c r="A28" s="55"/>
      <c r="B28" s="56" t="s">
        <v>67</v>
      </c>
      <c r="C28" s="57" t="str">
        <f>IF(OR('Action Log'!$G28="",'Action Log'!$G28&gt;TODAY()),"PLANNED",IF('Action Log'!$H28="","",IF('Action Log'!$I28="",IF(TODAY()&gt;='Action Log'!$H28,"IN PROGRESS (LATE)","IN PROGRESS"),IF('Action Log'!$H28&lt;'Action Log'!$I28,"DONE (LATE)","DONE"))))</f>
        <v>DONE</v>
      </c>
      <c r="D28" s="58" t="s">
        <v>8</v>
      </c>
      <c r="E28" s="59" t="s">
        <v>128</v>
      </c>
      <c r="F28" s="58" t="s">
        <v>9</v>
      </c>
      <c r="G28" s="61">
        <v>44540.0</v>
      </c>
      <c r="H28" s="61">
        <v>44540.0</v>
      </c>
      <c r="I28" s="61">
        <v>44540.0</v>
      </c>
      <c r="J28" s="27" t="s">
        <v>66</v>
      </c>
      <c r="K28" s="2"/>
      <c r="L28" s="2"/>
      <c r="M28" s="2"/>
      <c r="N28" s="2"/>
      <c r="O28" s="2"/>
      <c r="P28" s="2"/>
      <c r="Q28" s="2"/>
      <c r="R28" s="2"/>
      <c r="S28" s="2"/>
    </row>
    <row r="29" ht="15.75" customHeight="1">
      <c r="A29" s="55"/>
      <c r="B29" s="56" t="s">
        <v>67</v>
      </c>
      <c r="C29" s="57" t="str">
        <f>IF(OR('Action Log'!$G29="",'Action Log'!$G29&gt;TODAY()),"PLANNED",IF('Action Log'!$H29="","",IF('Action Log'!$I29="",IF(TODAY()&gt;='Action Log'!$H29,"IN PROGRESS (LATE)","IN PROGRESS"),IF('Action Log'!$H29&lt;'Action Log'!$I29,"DONE (LATE)","DONE"))))</f>
        <v>DONE</v>
      </c>
      <c r="D29" s="58" t="s">
        <v>14</v>
      </c>
      <c r="E29" s="59" t="s">
        <v>128</v>
      </c>
      <c r="F29" s="58" t="s">
        <v>23</v>
      </c>
      <c r="G29" s="61">
        <v>44541.0</v>
      </c>
      <c r="H29" s="61">
        <v>44542.0</v>
      </c>
      <c r="I29" s="61">
        <v>44542.0</v>
      </c>
      <c r="J29" s="27" t="s">
        <v>66</v>
      </c>
    </row>
    <row r="30" ht="15.75" customHeight="1">
      <c r="A30" s="55"/>
      <c r="B30" s="56" t="s">
        <v>69</v>
      </c>
      <c r="C30" s="57" t="str">
        <f>IF(OR('Action Log'!$G30="",'Action Log'!$G30&gt;TODAY()),"PLANNED",IF('Action Log'!$H30="","",IF('Action Log'!$I30="",IF(TODAY()&gt;='Action Log'!$H30,"IN PROGRESS (LATE)","IN PROGRESS"),IF('Action Log'!$H30&lt;'Action Log'!$I30,"DONE (LATE)","DONE"))))</f>
        <v>DONE</v>
      </c>
      <c r="D30" s="58" t="s">
        <v>22</v>
      </c>
      <c r="E30" s="59" t="s">
        <v>123</v>
      </c>
      <c r="F30" s="58" t="s">
        <v>23</v>
      </c>
      <c r="G30" s="61">
        <v>44534.0</v>
      </c>
      <c r="H30" s="61">
        <v>44536.0</v>
      </c>
      <c r="I30" s="61">
        <v>44535.0</v>
      </c>
      <c r="J30" s="27" t="s">
        <v>66</v>
      </c>
    </row>
    <row r="31" ht="15.75" customHeight="1">
      <c r="A31" s="55"/>
      <c r="B31" s="56" t="s">
        <v>69</v>
      </c>
      <c r="C31" s="57" t="str">
        <f>IF(OR('Action Log'!$G31="",'Action Log'!$G31&gt;TODAY()),"PLANNED",IF('Action Log'!$H31="","",IF('Action Log'!$I31="",IF(TODAY()&gt;='Action Log'!$H31,"IN PROGRESS (LATE)","IN PROGRESS"),IF('Action Log'!$H31&lt;'Action Log'!$I31,"DONE (LATE)","DONE"))))</f>
        <v>DONE</v>
      </c>
      <c r="D31" s="62" t="s">
        <v>10</v>
      </c>
      <c r="E31" s="59" t="s">
        <v>128</v>
      </c>
      <c r="F31" s="64" t="s">
        <v>11</v>
      </c>
      <c r="G31" s="61">
        <v>44535.0</v>
      </c>
      <c r="H31" s="61">
        <v>44536.0</v>
      </c>
      <c r="I31" s="61">
        <v>44536.0</v>
      </c>
      <c r="J31" s="27" t="s">
        <v>66</v>
      </c>
    </row>
    <row r="32" ht="15.75" customHeight="1">
      <c r="A32" s="55"/>
      <c r="B32" s="56" t="s">
        <v>70</v>
      </c>
      <c r="C32" s="57" t="str">
        <f>IF(OR('Action Log'!$G32="",'Action Log'!$G32&gt;TODAY()),"PLANNED",IF('Action Log'!$H32="","",IF('Action Log'!$I32="",IF(TODAY()&gt;='Action Log'!$H32,"IN PROGRESS (LATE)","IN PROGRESS"),IF('Action Log'!$H32&lt;'Action Log'!$I32,"DONE (LATE)","DONE"))))</f>
        <v>DONE</v>
      </c>
      <c r="D32" s="58" t="s">
        <v>12</v>
      </c>
      <c r="E32" s="59" t="s">
        <v>128</v>
      </c>
      <c r="F32" s="58" t="s">
        <v>13</v>
      </c>
      <c r="G32" s="61">
        <v>44533.0</v>
      </c>
      <c r="H32" s="61">
        <v>44535.0</v>
      </c>
      <c r="I32" s="61">
        <v>44535.0</v>
      </c>
      <c r="J32" s="27" t="s">
        <v>66</v>
      </c>
    </row>
    <row r="33" ht="15.75" customHeight="1">
      <c r="A33" s="55"/>
      <c r="B33" s="56" t="s">
        <v>69</v>
      </c>
      <c r="C33" s="57" t="str">
        <f>IF(OR('Action Log'!$G33="",'Action Log'!$G33&gt;TODAY()),"PLANNED",IF('Action Log'!$H33="","",IF('Action Log'!$I33="",IF(TODAY()&gt;='Action Log'!$H33,"IN PROGRESS (LATE)","IN PROGRESS"),IF('Action Log'!$H33&lt;'Action Log'!$I33,"DONE (LATE)","DONE"))))</f>
        <v>DONE</v>
      </c>
      <c r="D33" s="58" t="s">
        <v>131</v>
      </c>
      <c r="E33" s="59" t="s">
        <v>123</v>
      </c>
      <c r="F33" s="58" t="s">
        <v>9</v>
      </c>
      <c r="G33" s="61">
        <v>44534.0</v>
      </c>
      <c r="H33" s="61">
        <v>44535.0</v>
      </c>
      <c r="I33" s="61">
        <v>44534.0</v>
      </c>
      <c r="J33" s="27" t="s">
        <v>66</v>
      </c>
    </row>
    <row r="34" ht="15.75" customHeight="1">
      <c r="A34" s="55"/>
      <c r="B34" s="56" t="s">
        <v>69</v>
      </c>
      <c r="C34" s="57" t="str">
        <f>IF(OR('Action Log'!$G34="",'Action Log'!$G34&gt;TODAY()),"PLANNED",IF('Action Log'!$H34="","",IF('Action Log'!$I34="",IF(TODAY()&gt;='Action Log'!$H34,"IN PROGRESS (LATE)","IN PROGRESS"),IF('Action Log'!$H34&lt;'Action Log'!$I34,"DONE (LATE)","DONE"))))</f>
        <v>DONE</v>
      </c>
      <c r="D34" s="62" t="s">
        <v>25</v>
      </c>
      <c r="E34" s="59" t="s">
        <v>123</v>
      </c>
      <c r="F34" s="64" t="s">
        <v>53</v>
      </c>
      <c r="G34" s="61">
        <v>44534.0</v>
      </c>
      <c r="H34" s="61">
        <v>44535.0</v>
      </c>
      <c r="I34" s="61">
        <v>44535.0</v>
      </c>
      <c r="J34" s="27" t="s">
        <v>66</v>
      </c>
    </row>
    <row r="35" ht="15.75" customHeight="1">
      <c r="A35" s="55"/>
      <c r="B35" s="56" t="s">
        <v>69</v>
      </c>
      <c r="C35" s="57" t="str">
        <f>IF(OR('Action Log'!$G35="",'Action Log'!$G35&gt;TODAY()),"PLANNED",IF('Action Log'!$H35="","",IF('Action Log'!$I35="",IF(TODAY()&gt;='Action Log'!$H35,"IN PROGRESS (LATE)","IN PROGRESS"),IF('Action Log'!$H35&lt;'Action Log'!$I35,"DONE (LATE)","DONE"))))</f>
        <v>DONE</v>
      </c>
      <c r="D35" s="58" t="s">
        <v>18</v>
      </c>
      <c r="E35" s="59" t="s">
        <v>128</v>
      </c>
      <c r="F35" s="58" t="s">
        <v>19</v>
      </c>
      <c r="G35" s="61">
        <v>44535.0</v>
      </c>
      <c r="H35" s="61">
        <v>44535.0</v>
      </c>
      <c r="I35" s="61">
        <v>44535.0</v>
      </c>
      <c r="J35" s="27" t="s">
        <v>66</v>
      </c>
    </row>
    <row r="36" ht="15.75" customHeight="1">
      <c r="A36" s="55"/>
      <c r="B36" s="56" t="s">
        <v>69</v>
      </c>
      <c r="C36" s="57" t="str">
        <f>IF(OR('Action Log'!$G36="",'Action Log'!$G36&gt;TODAY()),"PLANNED",IF('Action Log'!$H36="","",IF('Action Log'!$I36="",IF(TODAY()&gt;='Action Log'!$H36,"IN PROGRESS (LATE)","IN PROGRESS"),IF('Action Log'!$H36&lt;'Action Log'!$I36,"DONE (LATE)","DONE"))))</f>
        <v>DONE</v>
      </c>
      <c r="D36" s="58" t="s">
        <v>8</v>
      </c>
      <c r="E36" s="59" t="s">
        <v>128</v>
      </c>
      <c r="F36" s="58" t="s">
        <v>9</v>
      </c>
      <c r="G36" s="61">
        <v>44535.0</v>
      </c>
      <c r="H36" s="61">
        <v>44535.0</v>
      </c>
      <c r="I36" s="61">
        <v>44535.0</v>
      </c>
      <c r="J36" s="27" t="s">
        <v>66</v>
      </c>
    </row>
    <row r="37" ht="15.75" customHeight="1">
      <c r="A37" s="55"/>
      <c r="B37" s="56" t="s">
        <v>74</v>
      </c>
      <c r="C37" s="57" t="str">
        <f>IF(OR('Action Log'!$G37="",'Action Log'!$G37&gt;TODAY()),"PLANNED",IF('Action Log'!$H37="","",IF('Action Log'!$I37="",IF(TODAY()&gt;='Action Log'!$H37,"IN PROGRESS (LATE)","IN PROGRESS"),IF('Action Log'!$H37&lt;'Action Log'!$I37,"DONE (LATE)","DONE"))))</f>
        <v>DONE</v>
      </c>
      <c r="D37" s="58" t="s">
        <v>8</v>
      </c>
      <c r="E37" s="59" t="s">
        <v>128</v>
      </c>
      <c r="F37" s="58" t="s">
        <v>9</v>
      </c>
      <c r="G37" s="61">
        <v>44542.0</v>
      </c>
      <c r="H37" s="61">
        <v>44542.0</v>
      </c>
      <c r="I37" s="61">
        <v>44542.0</v>
      </c>
      <c r="J37" s="27" t="s">
        <v>66</v>
      </c>
    </row>
    <row r="38" ht="15.75" customHeight="1">
      <c r="A38" s="55"/>
      <c r="B38" s="56" t="s">
        <v>69</v>
      </c>
      <c r="C38" s="57" t="str">
        <f>IF(OR('Action Log'!$G38="",'Action Log'!$G38&gt;TODAY()),"PLANNED",IF('Action Log'!$H38="","",IF('Action Log'!$I38="",IF(TODAY()&gt;='Action Log'!$H38,"IN PROGRESS (LATE)","IN PROGRESS"),IF('Action Log'!$H38&lt;'Action Log'!$I38,"DONE (LATE)","DONE"))))</f>
        <v>DONE</v>
      </c>
      <c r="D38" s="58" t="s">
        <v>21</v>
      </c>
      <c r="E38" s="59" t="s">
        <v>123</v>
      </c>
      <c r="F38" s="58" t="s">
        <v>7</v>
      </c>
      <c r="G38" s="61">
        <v>44534.0</v>
      </c>
      <c r="H38" s="61">
        <v>44534.0</v>
      </c>
      <c r="I38" s="61">
        <v>44534.0</v>
      </c>
      <c r="J38" s="27" t="s">
        <v>66</v>
      </c>
    </row>
    <row r="39" ht="15.75" customHeight="1">
      <c r="A39" s="55"/>
      <c r="B39" s="56" t="s">
        <v>70</v>
      </c>
      <c r="C39" s="57" t="str">
        <f>IF(OR('Action Log'!$G39="",'Action Log'!$G39&gt;TODAY()),"PLANNED",IF('Action Log'!$H39="","",IF('Action Log'!$I39="",IF(TODAY()&gt;='Action Log'!$H39,"IN PROGRESS (LATE)","IN PROGRESS"),IF('Action Log'!$H39&lt;'Action Log'!$I39,"DONE (LATE)","DONE"))))</f>
        <v>DONE</v>
      </c>
      <c r="D39" s="62" t="s">
        <v>10</v>
      </c>
      <c r="E39" s="59" t="s">
        <v>128</v>
      </c>
      <c r="F39" s="64" t="s">
        <v>11</v>
      </c>
      <c r="G39" s="61">
        <v>44533.0</v>
      </c>
      <c r="H39" s="61">
        <v>44533.0</v>
      </c>
      <c r="I39" s="61">
        <v>44533.0</v>
      </c>
      <c r="J39" s="27" t="s">
        <v>66</v>
      </c>
    </row>
    <row r="40" ht="15.75" customHeight="1">
      <c r="A40" s="55"/>
      <c r="B40" s="56" t="s">
        <v>74</v>
      </c>
      <c r="C40" s="57" t="str">
        <f>IF(OR('Action Log'!$G40="",'Action Log'!$G40&gt;TODAY()),"PLANNED",IF('Action Log'!$H40="","",IF('Action Log'!$I40="",IF(TODAY()&gt;='Action Log'!$H40,"IN PROGRESS (LATE)","IN PROGRESS"),IF('Action Log'!$H40&lt;'Action Log'!$I40,"DONE (LATE)","DONE"))))</f>
        <v>DONE (LATE)</v>
      </c>
      <c r="D40" s="62" t="s">
        <v>10</v>
      </c>
      <c r="E40" s="59" t="s">
        <v>128</v>
      </c>
      <c r="F40" s="64" t="s">
        <v>11</v>
      </c>
      <c r="G40" s="61">
        <v>44542.0</v>
      </c>
      <c r="H40" s="61">
        <v>44543.0</v>
      </c>
      <c r="I40" s="61">
        <v>44548.0</v>
      </c>
      <c r="J40" s="27" t="s">
        <v>66</v>
      </c>
    </row>
    <row r="41" ht="15.75" customHeight="1">
      <c r="A41" s="55"/>
      <c r="B41" s="56" t="s">
        <v>74</v>
      </c>
      <c r="C41" s="57" t="str">
        <f>IF(OR('Action Log'!$G41="",'Action Log'!$G41&gt;TODAY()),"PLANNED",IF('Action Log'!$H41="","",IF('Action Log'!$I41="",IF(TODAY()&gt;='Action Log'!$H41,"IN PROGRESS (LATE)","IN PROGRESS"),IF('Action Log'!$H41&lt;'Action Log'!$I41,"DONE (LATE)","DONE"))))</f>
        <v>DONE</v>
      </c>
      <c r="D41" s="58" t="s">
        <v>6</v>
      </c>
      <c r="E41" s="59" t="s">
        <v>128</v>
      </c>
      <c r="F41" s="58" t="s">
        <v>7</v>
      </c>
      <c r="G41" s="61">
        <v>44541.0</v>
      </c>
      <c r="H41" s="61">
        <v>44541.0</v>
      </c>
      <c r="I41" s="61">
        <v>44541.0</v>
      </c>
      <c r="J41" s="27" t="s">
        <v>66</v>
      </c>
    </row>
    <row r="42" ht="15.75" customHeight="1">
      <c r="A42" s="55"/>
      <c r="B42" s="56" t="s">
        <v>74</v>
      </c>
      <c r="C42" s="57" t="str">
        <f>IF(OR('Action Log'!$G42="",'Action Log'!$G42&gt;TODAY()),"PLANNED",IF('Action Log'!$H42="","",IF('Action Log'!$I42="",IF(TODAY()&gt;='Action Log'!$H42,"IN PROGRESS (LATE)","IN PROGRESS"),IF('Action Log'!$H42&lt;'Action Log'!$I42,"DONE (LATE)","DONE"))))</f>
        <v>DONE</v>
      </c>
      <c r="D42" s="58" t="s">
        <v>8</v>
      </c>
      <c r="E42" s="59" t="s">
        <v>128</v>
      </c>
      <c r="F42" s="58" t="s">
        <v>9</v>
      </c>
      <c r="G42" s="61">
        <v>44541.0</v>
      </c>
      <c r="H42" s="61">
        <v>44541.0</v>
      </c>
      <c r="I42" s="61">
        <v>44541.0</v>
      </c>
      <c r="J42" s="27" t="s">
        <v>66</v>
      </c>
    </row>
    <row r="43" ht="15.75" customHeight="1">
      <c r="A43" s="55"/>
      <c r="B43" s="56" t="s">
        <v>74</v>
      </c>
      <c r="C43" s="57" t="str">
        <f>IF(OR('Action Log'!$G43="",'Action Log'!$G43&gt;TODAY()),"PLANNED",IF('Action Log'!$H43="","",IF('Action Log'!$I43="",IF(TODAY()&gt;='Action Log'!$H43,"IN PROGRESS (LATE)","IN PROGRESS"),IF('Action Log'!$H43&lt;'Action Log'!$I43,"DONE (LATE)","DONE"))))</f>
        <v>DONE (LATE)</v>
      </c>
      <c r="D43" s="62" t="s">
        <v>10</v>
      </c>
      <c r="E43" s="59" t="s">
        <v>128</v>
      </c>
      <c r="F43" s="64" t="s">
        <v>11</v>
      </c>
      <c r="G43" s="61">
        <v>44541.0</v>
      </c>
      <c r="H43" s="61">
        <v>44543.0</v>
      </c>
      <c r="I43" s="61">
        <v>44548.0</v>
      </c>
      <c r="J43" s="27" t="s">
        <v>66</v>
      </c>
    </row>
    <row r="44" ht="15.75" customHeight="1">
      <c r="A44" s="55"/>
      <c r="B44" s="56" t="s">
        <v>70</v>
      </c>
      <c r="C44" s="57" t="str">
        <f>IF(OR('Action Log'!$G44="",'Action Log'!$G44&gt;TODAY()),"PLANNED",IF('Action Log'!$H44="","",IF('Action Log'!$I44="",IF(TODAY()&gt;='Action Log'!$H44,"IN PROGRESS (LATE)","IN PROGRESS"),IF('Action Log'!$H44&lt;'Action Log'!$I44,"DONE (LATE)","DONE"))))</f>
        <v>DONE</v>
      </c>
      <c r="D44" s="58" t="s">
        <v>6</v>
      </c>
      <c r="E44" s="59" t="s">
        <v>128</v>
      </c>
      <c r="F44" s="58" t="s">
        <v>7</v>
      </c>
      <c r="G44" s="61">
        <v>44528.0</v>
      </c>
      <c r="H44" s="61">
        <v>44528.0</v>
      </c>
      <c r="I44" s="61">
        <v>44528.0</v>
      </c>
      <c r="J44" s="27" t="s">
        <v>66</v>
      </c>
    </row>
    <row r="45" ht="15.75" customHeight="1">
      <c r="A45" s="55"/>
      <c r="B45" s="56" t="s">
        <v>70</v>
      </c>
      <c r="C45" s="57" t="str">
        <f>IF(OR('Action Log'!$G45="",'Action Log'!$G45&gt;TODAY()),"PLANNED",IF('Action Log'!$H45="","",IF('Action Log'!$I45="",IF(TODAY()&gt;='Action Log'!$H45,"IN PROGRESS (LATE)","IN PROGRESS"),IF('Action Log'!$H45&lt;'Action Log'!$I45,"DONE (LATE)","DONE"))))</f>
        <v>DONE</v>
      </c>
      <c r="D45" s="58" t="s">
        <v>8</v>
      </c>
      <c r="E45" s="59" t="s">
        <v>128</v>
      </c>
      <c r="F45" s="58" t="s">
        <v>9</v>
      </c>
      <c r="G45" s="61">
        <v>44528.0</v>
      </c>
      <c r="H45" s="61">
        <v>44528.0</v>
      </c>
      <c r="I45" s="61">
        <v>44528.0</v>
      </c>
      <c r="J45" s="27" t="s">
        <v>66</v>
      </c>
    </row>
    <row r="46" ht="15.75" customHeight="1">
      <c r="A46" s="55"/>
      <c r="B46" s="56" t="s">
        <v>74</v>
      </c>
      <c r="C46" s="57" t="str">
        <f>IF(OR('Action Log'!$G46="",'Action Log'!$G46&gt;TODAY()),"PLANNED",IF('Action Log'!$H46="","",IF('Action Log'!$I46="",IF(TODAY()&gt;='Action Log'!$H46,"IN PROGRESS (LATE)","IN PROGRESS"),IF('Action Log'!$H46&lt;'Action Log'!$I46,"DONE (LATE)","DONE"))))</f>
        <v>DONE (LATE)</v>
      </c>
      <c r="D46" s="58" t="s">
        <v>6</v>
      </c>
      <c r="E46" s="59" t="s">
        <v>128</v>
      </c>
      <c r="F46" s="58" t="s">
        <v>7</v>
      </c>
      <c r="G46" s="61">
        <v>44541.0</v>
      </c>
      <c r="H46" s="61">
        <v>44541.0</v>
      </c>
      <c r="I46" s="61">
        <v>44542.0</v>
      </c>
      <c r="J46" s="27" t="s">
        <v>66</v>
      </c>
    </row>
    <row r="47" ht="15.75" customHeight="1">
      <c r="A47" s="55"/>
      <c r="B47" s="56" t="s">
        <v>74</v>
      </c>
      <c r="C47" s="57" t="str">
        <f>IF(OR('Action Log'!$G47="",'Action Log'!$G47&gt;TODAY()),"PLANNED",IF('Action Log'!$H47="","",IF('Action Log'!$I47="",IF(TODAY()&gt;='Action Log'!$H47,"IN PROGRESS (LATE)","IN PROGRESS"),IF('Action Log'!$H47&lt;'Action Log'!$I47,"DONE (LATE)","DONE"))))</f>
        <v>DONE</v>
      </c>
      <c r="D47" s="58" t="s">
        <v>18</v>
      </c>
      <c r="E47" s="59" t="s">
        <v>128</v>
      </c>
      <c r="F47" s="58" t="s">
        <v>19</v>
      </c>
      <c r="G47" s="61">
        <v>44540.0</v>
      </c>
      <c r="H47" s="61">
        <v>44540.0</v>
      </c>
      <c r="I47" s="61">
        <v>44540.0</v>
      </c>
      <c r="J47" s="27" t="s">
        <v>66</v>
      </c>
    </row>
    <row r="48" ht="15.75" customHeight="1">
      <c r="A48" s="55"/>
      <c r="B48" s="56" t="s">
        <v>77</v>
      </c>
      <c r="C48" s="57" t="str">
        <f>IF(OR('Action Log'!$G48="",'Action Log'!$G48&gt;TODAY()),"PLANNED",IF('Action Log'!$H48="","",IF('Action Log'!$I48="",IF(TODAY()&gt;='Action Log'!$H48,"IN PROGRESS (LATE)","IN PROGRESS"),IF('Action Log'!$H48&lt;'Action Log'!$I48,"DONE (LATE)","DONE"))))</f>
        <v>DONE</v>
      </c>
      <c r="D48" s="7" t="s">
        <v>30</v>
      </c>
      <c r="E48" s="59" t="s">
        <v>123</v>
      </c>
      <c r="F48" s="7" t="s">
        <v>31</v>
      </c>
      <c r="G48" s="61">
        <v>44522.0</v>
      </c>
      <c r="H48" s="61">
        <v>44525.0</v>
      </c>
      <c r="I48" s="61">
        <v>44525.0</v>
      </c>
      <c r="J48" s="27" t="s">
        <v>66</v>
      </c>
    </row>
    <row r="49" ht="15.75" customHeight="1">
      <c r="A49" s="55"/>
      <c r="B49" s="56" t="s">
        <v>73</v>
      </c>
      <c r="C49" s="57" t="str">
        <f>IF(OR('Action Log'!$G49="",'Action Log'!$G49&gt;TODAY()),"PLANNED",IF('Action Log'!$H49="","",IF('Action Log'!$I49="",IF(TODAY()&gt;='Action Log'!$H49,"IN PROGRESS (LATE)","IN PROGRESS"),IF('Action Log'!$H49&lt;'Action Log'!$I49,"DONE (LATE)","DONE"))))</f>
        <v>DONE</v>
      </c>
      <c r="D49" s="7" t="s">
        <v>18</v>
      </c>
      <c r="E49" s="59" t="s">
        <v>123</v>
      </c>
      <c r="F49" s="7" t="s">
        <v>132</v>
      </c>
      <c r="G49" s="61">
        <v>44521.0</v>
      </c>
      <c r="H49" s="61">
        <v>44525.0</v>
      </c>
      <c r="I49" s="61">
        <v>44525.0</v>
      </c>
      <c r="J49" s="27" t="s">
        <v>66</v>
      </c>
    </row>
    <row r="50" ht="15.75" customHeight="1">
      <c r="A50" s="55"/>
      <c r="B50" s="56" t="s">
        <v>74</v>
      </c>
      <c r="C50" s="57" t="str">
        <f>IF(OR('Action Log'!$G50="",'Action Log'!$G50&gt;TODAY()),"PLANNED",IF('Action Log'!$H50="","",IF('Action Log'!$I50="",IF(TODAY()&gt;='Action Log'!$H50,"IN PROGRESS (LATE)","IN PROGRESS"),IF('Action Log'!$H50&lt;'Action Log'!$I50,"DONE (LATE)","DONE"))))</f>
        <v>DONE</v>
      </c>
      <c r="D50" s="58" t="s">
        <v>14</v>
      </c>
      <c r="E50" s="59" t="s">
        <v>128</v>
      </c>
      <c r="F50" s="58" t="s">
        <v>15</v>
      </c>
      <c r="G50" s="61">
        <v>44534.0</v>
      </c>
      <c r="H50" s="61">
        <v>44534.0</v>
      </c>
      <c r="I50" s="61">
        <v>44534.0</v>
      </c>
      <c r="J50" s="27" t="s">
        <v>66</v>
      </c>
    </row>
    <row r="51" ht="15.75" customHeight="1">
      <c r="A51" s="55"/>
      <c r="B51" s="56" t="s">
        <v>77</v>
      </c>
      <c r="C51" s="57" t="str">
        <f>IF(OR('Action Log'!$G51="",'Action Log'!$G51&gt;TODAY()),"PLANNED",IF('Action Log'!$H51="","",IF('Action Log'!$I51="",IF(TODAY()&gt;='Action Log'!$H51,"IN PROGRESS (LATE)","IN PROGRESS"),IF('Action Log'!$H51&lt;'Action Log'!$I51,"DONE (LATE)","DONE"))))</f>
        <v>DONE</v>
      </c>
      <c r="D51" s="7" t="s">
        <v>21</v>
      </c>
      <c r="E51" s="59" t="s">
        <v>123</v>
      </c>
      <c r="F51" s="7" t="s">
        <v>7</v>
      </c>
      <c r="G51" s="61">
        <v>44522.0</v>
      </c>
      <c r="H51" s="61">
        <v>44522.0</v>
      </c>
      <c r="I51" s="61">
        <v>44522.0</v>
      </c>
      <c r="J51" s="27" t="s">
        <v>66</v>
      </c>
    </row>
    <row r="52" ht="15.75" customHeight="1">
      <c r="A52" s="55"/>
      <c r="B52" s="56" t="s">
        <v>77</v>
      </c>
      <c r="C52" s="57" t="str">
        <f>IF(OR('Action Log'!$G52="",'Action Log'!$G52&gt;TODAY()),"PLANNED",IF('Action Log'!$H52="","",IF('Action Log'!$I52="",IF(TODAY()&gt;='Action Log'!$H52,"IN PROGRESS (LATE)","IN PROGRESS"),IF('Action Log'!$H52&lt;'Action Log'!$I52,"DONE (LATE)","DONE"))))</f>
        <v>DONE</v>
      </c>
      <c r="D52" s="58" t="s">
        <v>22</v>
      </c>
      <c r="E52" s="59" t="s">
        <v>123</v>
      </c>
      <c r="F52" s="7" t="s">
        <v>23</v>
      </c>
      <c r="G52" s="61">
        <v>44522.0</v>
      </c>
      <c r="H52" s="61">
        <v>44522.0</v>
      </c>
      <c r="I52" s="61">
        <v>44522.0</v>
      </c>
      <c r="J52" s="27" t="s">
        <v>66</v>
      </c>
    </row>
    <row r="53" ht="15.75" customHeight="1">
      <c r="A53" s="55"/>
      <c r="B53" s="56" t="s">
        <v>77</v>
      </c>
      <c r="C53" s="57" t="str">
        <f>IF(OR('Action Log'!$G53="",'Action Log'!$G53&gt;TODAY()),"PLANNED",IF('Action Log'!$H53="","",IF('Action Log'!$I53="",IF(TODAY()&gt;='Action Log'!$H53,"IN PROGRESS (LATE)","IN PROGRESS"),IF('Action Log'!$H53&lt;'Action Log'!$I53,"DONE (LATE)","DONE"))))</f>
        <v>DONE</v>
      </c>
      <c r="D53" s="7" t="s">
        <v>25</v>
      </c>
      <c r="E53" s="59" t="s">
        <v>123</v>
      </c>
      <c r="F53" s="7" t="s">
        <v>133</v>
      </c>
      <c r="G53" s="61">
        <v>44522.0</v>
      </c>
      <c r="H53" s="61">
        <v>44522.0</v>
      </c>
      <c r="I53" s="61">
        <v>44522.0</v>
      </c>
      <c r="J53" s="27" t="s">
        <v>66</v>
      </c>
    </row>
    <row r="54" ht="15.75" customHeight="1">
      <c r="A54" s="55"/>
      <c r="B54" s="56" t="s">
        <v>77</v>
      </c>
      <c r="C54" s="57" t="str">
        <f>IF(OR('Action Log'!$G54="",'Action Log'!$G54&gt;TODAY()),"PLANNED",IF('Action Log'!$H54="","",IF('Action Log'!$I54="",IF(TODAY()&gt;='Action Log'!$H54,"IN PROGRESS (LATE)","IN PROGRESS"),IF('Action Log'!$H54&lt;'Action Log'!$I54,"DONE (LATE)","DONE"))))</f>
        <v>DONE</v>
      </c>
      <c r="D54" s="7" t="s">
        <v>29</v>
      </c>
      <c r="E54" s="59" t="s">
        <v>123</v>
      </c>
      <c r="F54" s="7" t="s">
        <v>23</v>
      </c>
      <c r="G54" s="61">
        <v>44522.0</v>
      </c>
      <c r="H54" s="61">
        <v>44522.0</v>
      </c>
      <c r="I54" s="61">
        <v>44522.0</v>
      </c>
      <c r="J54" s="27" t="s">
        <v>66</v>
      </c>
    </row>
    <row r="55" ht="15.75" customHeight="1">
      <c r="A55" s="55"/>
      <c r="B55" s="56" t="s">
        <v>74</v>
      </c>
      <c r="C55" s="57" t="str">
        <f>IF(OR('Action Log'!$G55="",'Action Log'!$G55&gt;TODAY()),"PLANNED",IF('Action Log'!$H55="","",IF('Action Log'!$I55="",IF(TODAY()&gt;='Action Log'!$H55,"IN PROGRESS (LATE)","IN PROGRESS"),IF('Action Log'!$H55&lt;'Action Log'!$I55,"DONE (LATE)","DONE"))))</f>
        <v>DONE</v>
      </c>
      <c r="D55" s="58" t="s">
        <v>6</v>
      </c>
      <c r="E55" s="59" t="s">
        <v>128</v>
      </c>
      <c r="F55" s="58" t="s">
        <v>7</v>
      </c>
      <c r="G55" s="61">
        <v>44529.0</v>
      </c>
      <c r="H55" s="61">
        <v>44529.0</v>
      </c>
      <c r="I55" s="61">
        <v>44529.0</v>
      </c>
      <c r="J55" s="27" t="s">
        <v>66</v>
      </c>
    </row>
    <row r="56" ht="15.75" customHeight="1">
      <c r="A56" s="55"/>
      <c r="B56" s="56" t="s">
        <v>74</v>
      </c>
      <c r="C56" s="57" t="str">
        <f>IF(OR('Action Log'!$G56="",'Action Log'!$G56&gt;TODAY()),"PLANNED",IF('Action Log'!$H56="","",IF('Action Log'!$I56="",IF(TODAY()&gt;='Action Log'!$H56,"IN PROGRESS (LATE)","IN PROGRESS"),IF('Action Log'!$H56&lt;'Action Log'!$I56,"DONE (LATE)","DONE"))))</f>
        <v>DONE</v>
      </c>
      <c r="D56" s="58" t="s">
        <v>8</v>
      </c>
      <c r="E56" s="59" t="s">
        <v>128</v>
      </c>
      <c r="F56" s="58" t="s">
        <v>9</v>
      </c>
      <c r="G56" s="61">
        <v>44529.0</v>
      </c>
      <c r="H56" s="61">
        <v>44529.0</v>
      </c>
      <c r="I56" s="61">
        <v>44529.0</v>
      </c>
      <c r="J56" s="27" t="s">
        <v>66</v>
      </c>
    </row>
    <row r="57" ht="15.75" customHeight="1">
      <c r="A57" s="55"/>
      <c r="B57" s="56" t="s">
        <v>73</v>
      </c>
      <c r="C57" s="57" t="str">
        <f>IF(OR('Action Log'!$G57="",'Action Log'!$G57&gt;TODAY()),"PLANNED",IF('Action Log'!$H57="","",IF('Action Log'!$I57="",IF(TODAY()&gt;='Action Log'!$H57,"IN PROGRESS (LATE)","IN PROGRESS"),IF('Action Log'!$H57&lt;'Action Log'!$I57,"DONE (LATE)","DONE"))))</f>
        <v>DONE</v>
      </c>
      <c r="D57" s="65" t="s">
        <v>14</v>
      </c>
      <c r="E57" s="59" t="s">
        <v>123</v>
      </c>
      <c r="F57" s="7" t="s">
        <v>134</v>
      </c>
      <c r="G57" s="61">
        <v>44519.0</v>
      </c>
      <c r="H57" s="61">
        <v>44519.0</v>
      </c>
      <c r="I57" s="61">
        <v>44519.0</v>
      </c>
      <c r="J57" s="27" t="s">
        <v>66</v>
      </c>
    </row>
    <row r="58" ht="15.75" customHeight="1">
      <c r="A58" s="55"/>
      <c r="B58" s="56" t="s">
        <v>74</v>
      </c>
      <c r="C58" s="57" t="str">
        <f>IF(OR('Action Log'!$G58="",'Action Log'!$G58&gt;TODAY()),"PLANNED",IF('Action Log'!$H58="","",IF('Action Log'!$I58="",IF(TODAY()&gt;='Action Log'!$H58,"IN PROGRESS (LATE)","IN PROGRESS"),IF('Action Log'!$H58&lt;'Action Log'!$I58,"DONE (LATE)","DONE"))))</f>
        <v>DONE (LATE)</v>
      </c>
      <c r="D58" s="58" t="s">
        <v>12</v>
      </c>
      <c r="E58" s="59" t="s">
        <v>128</v>
      </c>
      <c r="F58" s="58" t="s">
        <v>13</v>
      </c>
      <c r="G58" s="61">
        <v>44529.0</v>
      </c>
      <c r="H58" s="61">
        <v>44532.0</v>
      </c>
      <c r="I58" s="61">
        <v>44534.0</v>
      </c>
      <c r="J58" s="27" t="s">
        <v>66</v>
      </c>
    </row>
    <row r="59" ht="15.75" customHeight="1">
      <c r="A59" s="55"/>
      <c r="B59" s="56" t="s">
        <v>74</v>
      </c>
      <c r="C59" s="57" t="str">
        <f>IF(OR('Action Log'!$G59="",'Action Log'!$G59&gt;TODAY()),"PLANNED",IF('Action Log'!$H59="","",IF('Action Log'!$I59="",IF(TODAY()&gt;='Action Log'!$H59,"IN PROGRESS (LATE)","IN PROGRESS"),IF('Action Log'!$H59&lt;'Action Log'!$I59,"DONE (LATE)","DONE"))))</f>
        <v>DONE</v>
      </c>
      <c r="D59" s="65" t="s">
        <v>18</v>
      </c>
      <c r="E59" s="59" t="s">
        <v>128</v>
      </c>
      <c r="F59" s="7" t="s">
        <v>7</v>
      </c>
      <c r="G59" s="61">
        <v>44527.0</v>
      </c>
      <c r="H59" s="61">
        <v>44528.0</v>
      </c>
      <c r="I59" s="61">
        <v>44528.0</v>
      </c>
      <c r="J59" s="27" t="s">
        <v>66</v>
      </c>
    </row>
    <row r="60" ht="15.75" customHeight="1">
      <c r="A60" s="55"/>
      <c r="B60" s="56" t="s">
        <v>74</v>
      </c>
      <c r="C60" s="57" t="str">
        <f>IF(OR('Action Log'!$G60="",'Action Log'!$G60&gt;TODAY()),"PLANNED",IF('Action Log'!$H60="","",IF('Action Log'!$I60="",IF(TODAY()&gt;='Action Log'!$H60,"IN PROGRESS (LATE)","IN PROGRESS"),IF('Action Log'!$H60&lt;'Action Log'!$I60,"DONE (LATE)","DONE"))))</f>
        <v>DONE</v>
      </c>
      <c r="D60" s="58" t="s">
        <v>18</v>
      </c>
      <c r="E60" s="59" t="s">
        <v>128</v>
      </c>
      <c r="F60" s="7" t="s">
        <v>7</v>
      </c>
      <c r="G60" s="61">
        <v>44527.0</v>
      </c>
      <c r="H60" s="61">
        <v>44528.0</v>
      </c>
      <c r="I60" s="61">
        <v>44528.0</v>
      </c>
      <c r="J60" s="27" t="s">
        <v>66</v>
      </c>
    </row>
    <row r="61" ht="15.75" customHeight="1">
      <c r="A61" s="55"/>
      <c r="B61" s="56" t="s">
        <v>73</v>
      </c>
      <c r="C61" s="57" t="str">
        <f>IF(OR('Action Log'!$G61="",'Action Log'!$G61&gt;TODAY()),"PLANNED",IF('Action Log'!$H61="","",IF('Action Log'!$I61="",IF(TODAY()&gt;='Action Log'!$H61,"IN PROGRESS (LATE)","IN PROGRESS"),IF('Action Log'!$H61&lt;'Action Log'!$I61,"DONE (LATE)","DONE"))))</f>
        <v>DONE</v>
      </c>
      <c r="D61" s="65" t="s">
        <v>12</v>
      </c>
      <c r="E61" s="59" t="s">
        <v>123</v>
      </c>
      <c r="F61" s="7" t="s">
        <v>7</v>
      </c>
      <c r="G61" s="61">
        <v>44512.0</v>
      </c>
      <c r="H61" s="61">
        <v>44514.0</v>
      </c>
      <c r="I61" s="61">
        <v>44513.0</v>
      </c>
      <c r="J61" s="27" t="s">
        <v>66</v>
      </c>
    </row>
    <row r="62" ht="15.75" customHeight="1">
      <c r="A62" s="55"/>
      <c r="B62" s="56" t="s">
        <v>105</v>
      </c>
      <c r="C62" s="57" t="str">
        <f>IF(OR('Action Log'!$G62="",'Action Log'!$G62&gt;TODAY()),"PLANNED",IF('Action Log'!$H62="","",IF('Action Log'!$I62="",IF(TODAY()&gt;='Action Log'!$H62,"IN PROGRESS (LATE)","IN PROGRESS"),IF('Action Log'!$H62&lt;'Action Log'!$I62,"DONE (LATE)","DONE"))))</f>
        <v>DONE</v>
      </c>
      <c r="D62" s="65" t="s">
        <v>135</v>
      </c>
      <c r="E62" s="59" t="s">
        <v>128</v>
      </c>
      <c r="F62" s="7" t="s">
        <v>7</v>
      </c>
      <c r="G62" s="61">
        <v>44509.0</v>
      </c>
      <c r="H62" s="61">
        <v>44513.0</v>
      </c>
      <c r="I62" s="61">
        <v>44513.0</v>
      </c>
      <c r="J62" s="27" t="s">
        <v>66</v>
      </c>
    </row>
    <row r="63" ht="15.75" customHeight="1">
      <c r="A63" s="55"/>
      <c r="B63" s="56" t="s">
        <v>73</v>
      </c>
      <c r="C63" s="57" t="str">
        <f>IF(OR('Action Log'!$G63="",'Action Log'!$G63&gt;TODAY()),"PLANNED",IF('Action Log'!$H63="","",IF('Action Log'!$I63="",IF(TODAY()&gt;='Action Log'!$H63,"IN PROGRESS (LATE)","IN PROGRESS"),IF('Action Log'!$H63&lt;'Action Log'!$I63,"DONE (LATE)","DONE"))))</f>
        <v>DONE</v>
      </c>
      <c r="D63" s="65" t="s">
        <v>136</v>
      </c>
      <c r="E63" s="59" t="s">
        <v>123</v>
      </c>
      <c r="F63" s="7" t="s">
        <v>126</v>
      </c>
      <c r="G63" s="61">
        <v>44512.0</v>
      </c>
      <c r="H63" s="61">
        <v>44512.0</v>
      </c>
      <c r="I63" s="61">
        <v>44512.0</v>
      </c>
      <c r="J63" s="27" t="s">
        <v>66</v>
      </c>
    </row>
    <row r="64" ht="15.75" customHeight="1">
      <c r="A64" s="55"/>
      <c r="B64" s="56" t="s">
        <v>105</v>
      </c>
      <c r="C64" s="57" t="str">
        <f>IF(OR('Action Log'!$G64="",'Action Log'!$G64&gt;TODAY()),"PLANNED",IF('Action Log'!$H64="","",IF('Action Log'!$I64="",IF(TODAY()&gt;='Action Log'!$H64,"IN PROGRESS (LATE)","IN PROGRESS"),IF('Action Log'!$H64&lt;'Action Log'!$I64,"DONE (LATE)","DONE"))))</f>
        <v>DONE</v>
      </c>
      <c r="D64" s="65" t="s">
        <v>14</v>
      </c>
      <c r="E64" s="59" t="s">
        <v>128</v>
      </c>
      <c r="F64" s="7" t="s">
        <v>137</v>
      </c>
      <c r="G64" s="61">
        <v>44501.0</v>
      </c>
      <c r="H64" s="61">
        <v>44509.0</v>
      </c>
      <c r="I64" s="61">
        <v>44508.0</v>
      </c>
      <c r="J64" s="27" t="s">
        <v>66</v>
      </c>
    </row>
    <row r="65" ht="15.75" customHeight="1">
      <c r="A65" s="55"/>
      <c r="B65" s="56" t="s">
        <v>71</v>
      </c>
      <c r="C65" s="57" t="str">
        <f>IF(OR('Action Log'!$G65="",'Action Log'!$G65&gt;TODAY()),"PLANNED",IF('Action Log'!$H65="","",IF('Action Log'!$I65="",IF(TODAY()&gt;='Action Log'!$H65,"IN PROGRESS (LATE)","IN PROGRESS"),IF('Action Log'!$H65&lt;'Action Log'!$I65,"DONE (LATE)","DONE"))))</f>
        <v>DONE</v>
      </c>
      <c r="D65" s="58" t="s">
        <v>18</v>
      </c>
      <c r="E65" s="59" t="s">
        <v>128</v>
      </c>
      <c r="F65" s="7" t="s">
        <v>17</v>
      </c>
      <c r="G65" s="61">
        <v>44518.0</v>
      </c>
      <c r="H65" s="61">
        <v>44521.0</v>
      </c>
      <c r="I65" s="61">
        <v>44521.0</v>
      </c>
      <c r="J65" s="27" t="s">
        <v>66</v>
      </c>
    </row>
    <row r="66" ht="15.75" customHeight="1">
      <c r="A66" s="55"/>
      <c r="B66" s="56" t="s">
        <v>73</v>
      </c>
      <c r="C66" s="57" t="str">
        <f>IF(OR('Action Log'!$G66="",'Action Log'!$G66&gt;TODAY()),"PLANNED",IF('Action Log'!$H66="","",IF('Action Log'!$I66="",IF(TODAY()&gt;='Action Log'!$H66,"IN PROGRESS (LATE)","IN PROGRESS"),IF('Action Log'!$H66&lt;'Action Log'!$I66,"DONE (LATE)","DONE"))))</f>
        <v>DONE</v>
      </c>
      <c r="D66" s="65" t="s">
        <v>138</v>
      </c>
      <c r="E66" s="59" t="s">
        <v>123</v>
      </c>
      <c r="F66" s="7" t="s">
        <v>17</v>
      </c>
      <c r="G66" s="61">
        <v>44507.0</v>
      </c>
      <c r="H66" s="61">
        <v>44507.0</v>
      </c>
      <c r="I66" s="61">
        <v>44507.0</v>
      </c>
      <c r="J66" s="27" t="s">
        <v>66</v>
      </c>
    </row>
    <row r="67" ht="15.75" customHeight="1">
      <c r="A67" s="55"/>
      <c r="B67" s="56" t="s">
        <v>105</v>
      </c>
      <c r="C67" s="57" t="str">
        <f>IF(OR('Action Log'!$G67="",'Action Log'!$G67&gt;TODAY()),"PLANNED",IF('Action Log'!$H67="","",IF('Action Log'!$I67="",IF(TODAY()&gt;='Action Log'!$H67,"IN PROGRESS (LATE)","IN PROGRESS"),IF('Action Log'!$H67&lt;'Action Log'!$I67,"DONE (LATE)","DONE"))))</f>
        <v>DONE</v>
      </c>
      <c r="D67" s="65" t="s">
        <v>139</v>
      </c>
      <c r="E67" s="59" t="s">
        <v>128</v>
      </c>
      <c r="F67" s="7" t="s">
        <v>7</v>
      </c>
      <c r="G67" s="61">
        <v>44498.0</v>
      </c>
      <c r="H67" s="61">
        <v>44501.0</v>
      </c>
      <c r="I67" s="61">
        <v>44501.0</v>
      </c>
      <c r="J67" s="27" t="s">
        <v>66</v>
      </c>
    </row>
    <row r="68" ht="15.75" customHeight="1">
      <c r="A68" s="55"/>
      <c r="B68" s="56" t="s">
        <v>71</v>
      </c>
      <c r="C68" s="57" t="str">
        <f>IF(OR('Action Log'!$G68="",'Action Log'!$G68&gt;TODAY()),"PLANNED",IF('Action Log'!$H68="","",IF('Action Log'!$I68="",IF(TODAY()&gt;='Action Log'!$H68,"IN PROGRESS (LATE)","IN PROGRESS"),IF('Action Log'!$H68&lt;'Action Log'!$I68,"DONE (LATE)","DONE"))))</f>
        <v>DONE</v>
      </c>
      <c r="D68" s="7" t="s">
        <v>14</v>
      </c>
      <c r="E68" s="59" t="s">
        <v>128</v>
      </c>
      <c r="F68" s="7" t="s">
        <v>7</v>
      </c>
      <c r="G68" s="61">
        <v>44504.0</v>
      </c>
      <c r="H68" s="61">
        <v>44509.0</v>
      </c>
      <c r="I68" s="61">
        <v>44507.0</v>
      </c>
      <c r="J68" s="27" t="s">
        <v>66</v>
      </c>
    </row>
    <row r="69" ht="15.75" customHeight="1">
      <c r="A69" s="55"/>
      <c r="B69" s="56" t="s">
        <v>71</v>
      </c>
      <c r="C69" s="57" t="str">
        <f>IF(OR('Action Log'!$G69="",'Action Log'!$G69&gt;TODAY()),"PLANNED",IF('Action Log'!$H69="","",IF('Action Log'!$I69="",IF(TODAY()&gt;='Action Log'!$H69,"IN PROGRESS (LATE)","IN PROGRESS"),IF('Action Log'!$H69&lt;'Action Log'!$I69,"DONE (LATE)","DONE"))))</f>
        <v>DONE (LATE)</v>
      </c>
      <c r="D69" s="58" t="s">
        <v>12</v>
      </c>
      <c r="E69" s="59" t="s">
        <v>128</v>
      </c>
      <c r="F69" s="7" t="s">
        <v>140</v>
      </c>
      <c r="G69" s="61">
        <v>44500.0</v>
      </c>
      <c r="H69" s="61">
        <v>44505.0</v>
      </c>
      <c r="I69" s="61">
        <v>44506.0</v>
      </c>
      <c r="J69" s="27" t="s">
        <v>66</v>
      </c>
    </row>
    <row r="70" ht="15.75" customHeight="1">
      <c r="A70" s="55"/>
      <c r="B70" s="56" t="s">
        <v>105</v>
      </c>
      <c r="C70" s="57" t="str">
        <f>IF(OR('Action Log'!$G70="",'Action Log'!$G70&gt;TODAY()),"PLANNED",IF('Action Log'!$H70="","",IF('Action Log'!$I70="",IF(TODAY()&gt;='Action Log'!$H70,"IN PROGRESS (LATE)","IN PROGRESS"),IF('Action Log'!$H70&lt;'Action Log'!$I70,"DONE (LATE)","DONE"))))</f>
        <v>DONE</v>
      </c>
      <c r="D70" s="65" t="s">
        <v>141</v>
      </c>
      <c r="E70" s="59" t="s">
        <v>128</v>
      </c>
      <c r="F70" s="7" t="s">
        <v>126</v>
      </c>
      <c r="G70" s="61">
        <v>44498.0</v>
      </c>
      <c r="H70" s="61">
        <v>44498.0</v>
      </c>
      <c r="I70" s="61">
        <v>44498.0</v>
      </c>
      <c r="J70" s="27" t="s">
        <v>66</v>
      </c>
    </row>
    <row r="71" ht="15.75" customHeight="1">
      <c r="A71" s="55"/>
      <c r="B71" s="56" t="s">
        <v>73</v>
      </c>
      <c r="C71" s="57" t="str">
        <f>IF(OR('Action Log'!$G71="",'Action Log'!$G71&gt;TODAY()),"PLANNED",IF('Action Log'!$H71="","",IF('Action Log'!$I71="",IF(TODAY()&gt;='Action Log'!$H71,"IN PROGRESS (LATE)","IN PROGRESS"),IF('Action Log'!$H71&lt;'Action Log'!$I71,"DONE (LATE)","DONE"))))</f>
        <v>DONE</v>
      </c>
      <c r="D71" s="58" t="s">
        <v>18</v>
      </c>
      <c r="E71" s="59" t="s">
        <v>123</v>
      </c>
      <c r="F71" s="7" t="s">
        <v>17</v>
      </c>
      <c r="G71" s="61">
        <v>44490.0</v>
      </c>
      <c r="H71" s="61">
        <v>44493.0</v>
      </c>
      <c r="I71" s="61">
        <v>44493.0</v>
      </c>
      <c r="J71" s="27" t="s">
        <v>66</v>
      </c>
    </row>
    <row r="72" ht="15.75" customHeight="1">
      <c r="A72" s="55"/>
      <c r="B72" s="56" t="s">
        <v>88</v>
      </c>
      <c r="C72" s="57" t="str">
        <f>IF(OR('Action Log'!$G72="",'Action Log'!$G72&gt;TODAY()),"PLANNED",IF('Action Log'!$H72="","",IF('Action Log'!$I72="",IF(TODAY()&gt;='Action Log'!$H72,"IN PROGRESS (LATE)","IN PROGRESS"),IF('Action Log'!$H72&lt;'Action Log'!$I72,"DONE (LATE)","DONE"))))</f>
        <v>DONE</v>
      </c>
      <c r="D72" s="7" t="s">
        <v>142</v>
      </c>
      <c r="E72" s="59" t="s">
        <v>143</v>
      </c>
      <c r="F72" s="7" t="s">
        <v>7</v>
      </c>
      <c r="G72" s="61">
        <v>44486.0</v>
      </c>
      <c r="H72" s="61">
        <v>44486.0</v>
      </c>
      <c r="I72" s="61">
        <v>44486.0</v>
      </c>
      <c r="J72" s="27" t="s">
        <v>66</v>
      </c>
    </row>
    <row r="73" ht="15.75" customHeight="1">
      <c r="A73" s="55"/>
      <c r="B73" s="56" t="s">
        <v>73</v>
      </c>
      <c r="C73" s="57" t="str">
        <f>IF(OR('Action Log'!$G73="",'Action Log'!$G73&gt;TODAY()),"PLANNED",IF('Action Log'!$H73="","",IF('Action Log'!$I73="",IF(TODAY()&gt;='Action Log'!$H73,"IN PROGRESS (LATE)","IN PROGRESS"),IF('Action Log'!$H73&lt;'Action Log'!$I73,"DONE (LATE)","DONE"))))</f>
        <v>DONE</v>
      </c>
      <c r="D73" s="65" t="s">
        <v>12</v>
      </c>
      <c r="E73" s="59" t="s">
        <v>123</v>
      </c>
      <c r="F73" s="7" t="s">
        <v>7</v>
      </c>
      <c r="G73" s="61">
        <v>44484.0</v>
      </c>
      <c r="H73" s="61">
        <v>44486.0</v>
      </c>
      <c r="I73" s="61">
        <v>44484.0</v>
      </c>
      <c r="J73" s="27" t="s">
        <v>66</v>
      </c>
    </row>
    <row r="74" ht="15.75" customHeight="1">
      <c r="A74" s="55"/>
      <c r="B74" s="56" t="s">
        <v>73</v>
      </c>
      <c r="C74" s="57" t="str">
        <f>IF(OR('Action Log'!$G74="",'Action Log'!$G74&gt;TODAY()),"PLANNED",IF('Action Log'!$H74="","",IF('Action Log'!$I74="",IF(TODAY()&gt;='Action Log'!$H74,"IN PROGRESS (LATE)","IN PROGRESS"),IF('Action Log'!$H74&lt;'Action Log'!$I74,"DONE (LATE)","DONE"))))</f>
        <v>DONE</v>
      </c>
      <c r="D74" s="7" t="s">
        <v>136</v>
      </c>
      <c r="E74" s="59" t="s">
        <v>123</v>
      </c>
      <c r="F74" s="7" t="s">
        <v>126</v>
      </c>
      <c r="G74" s="61">
        <v>44484.0</v>
      </c>
      <c r="H74" s="61">
        <v>44484.0</v>
      </c>
      <c r="I74" s="61">
        <v>44484.0</v>
      </c>
      <c r="J74" s="27" t="s">
        <v>66</v>
      </c>
    </row>
    <row r="75" ht="15.75" customHeight="1">
      <c r="A75" s="55"/>
      <c r="B75" s="56" t="s">
        <v>71</v>
      </c>
      <c r="C75" s="57" t="str">
        <f>IF(OR('Action Log'!$G75="",'Action Log'!$G75&gt;TODAY()),"PLANNED",IF('Action Log'!$H75="","",IF('Action Log'!$I75="",IF(TODAY()&gt;='Action Log'!$H75,"IN PROGRESS (LATE)","IN PROGRESS"),IF('Action Log'!$H75&lt;'Action Log'!$I75,"DONE (LATE)","DONE"))))</f>
        <v>DONE</v>
      </c>
      <c r="D75" s="65" t="s">
        <v>12</v>
      </c>
      <c r="E75" s="59" t="s">
        <v>128</v>
      </c>
      <c r="F75" s="7" t="s">
        <v>7</v>
      </c>
      <c r="G75" s="61">
        <v>44499.0</v>
      </c>
      <c r="H75" s="61">
        <v>44501.0</v>
      </c>
      <c r="I75" s="61">
        <v>44501.0</v>
      </c>
      <c r="J75" s="27" t="s">
        <v>66</v>
      </c>
    </row>
    <row r="76" ht="15.75" customHeight="1">
      <c r="A76" s="55"/>
      <c r="B76" s="56" t="s">
        <v>105</v>
      </c>
      <c r="C76" s="57" t="str">
        <f>IF(OR('Action Log'!$G76="",'Action Log'!$G76&gt;TODAY()),"PLANNED",IF('Action Log'!$H76="","",IF('Action Log'!$I76="",IF(TODAY()&gt;='Action Log'!$H76,"IN PROGRESS (LATE)","IN PROGRESS"),IF('Action Log'!$H76&lt;'Action Log'!$I76,"DONE (LATE)","DONE"))))</f>
        <v>DONE</v>
      </c>
      <c r="D76" s="7" t="s">
        <v>144</v>
      </c>
      <c r="E76" s="59" t="s">
        <v>128</v>
      </c>
      <c r="F76" s="7" t="s">
        <v>126</v>
      </c>
      <c r="G76" s="61">
        <v>44483.0</v>
      </c>
      <c r="H76" s="61">
        <v>44483.0</v>
      </c>
      <c r="I76" s="61">
        <v>44483.0</v>
      </c>
      <c r="J76" s="27" t="s">
        <v>66</v>
      </c>
    </row>
    <row r="77" ht="15.75" customHeight="1">
      <c r="A77" s="55"/>
      <c r="B77" s="56" t="s">
        <v>105</v>
      </c>
      <c r="C77" s="57" t="str">
        <f>IF(OR('Action Log'!$G77="",'Action Log'!$G77&gt;TODAY()),"PLANNED",IF('Action Log'!$H77="","",IF('Action Log'!$I77="",IF(TODAY()&gt;='Action Log'!$H77,"IN PROGRESS (LATE)","IN PROGRESS"),IF('Action Log'!$H77&lt;'Action Log'!$I77,"DONE (LATE)","DONE"))))</f>
        <v>DONE</v>
      </c>
      <c r="D77" s="7" t="s">
        <v>145</v>
      </c>
      <c r="E77" s="59" t="s">
        <v>143</v>
      </c>
      <c r="F77" s="7" t="s">
        <v>126</v>
      </c>
      <c r="G77" s="61">
        <v>44456.0</v>
      </c>
      <c r="H77" s="61">
        <v>44480.0</v>
      </c>
      <c r="I77" s="61">
        <v>44480.0</v>
      </c>
      <c r="J77" s="27" t="s">
        <v>66</v>
      </c>
    </row>
    <row r="78" ht="15.75" customHeight="1">
      <c r="A78" s="55"/>
      <c r="B78" s="56" t="s">
        <v>88</v>
      </c>
      <c r="C78" s="57" t="str">
        <f>IF(OR('Action Log'!$G78="",'Action Log'!$G78&gt;TODAY()),"PLANNED",IF('Action Log'!$H78="","",IF('Action Log'!$I78="",IF(TODAY()&gt;='Action Log'!$H78,"IN PROGRESS (LATE)","IN PROGRESS"),IF('Action Log'!$H78&lt;'Action Log'!$I78,"DONE (LATE)","DONE"))))</f>
        <v>DONE</v>
      </c>
      <c r="D78" s="7" t="s">
        <v>146</v>
      </c>
      <c r="E78" s="59" t="s">
        <v>123</v>
      </c>
      <c r="F78" s="7" t="s">
        <v>7</v>
      </c>
      <c r="G78" s="61">
        <v>44479.0</v>
      </c>
      <c r="H78" s="61">
        <v>44480.0</v>
      </c>
      <c r="I78" s="61">
        <v>44480.0</v>
      </c>
      <c r="J78" s="27" t="s">
        <v>66</v>
      </c>
    </row>
    <row r="79" ht="15.75" customHeight="1">
      <c r="A79" s="55"/>
      <c r="B79" s="56" t="s">
        <v>71</v>
      </c>
      <c r="C79" s="57" t="str">
        <f>IF(OR('Action Log'!$G79="",'Action Log'!$G79&gt;TODAY()),"PLANNED",IF('Action Log'!$H79="","",IF('Action Log'!$I79="",IF(TODAY()&gt;='Action Log'!$H79,"IN PROGRESS (LATE)","IN PROGRESS"),IF('Action Log'!$H79&lt;'Action Log'!$I79,"DONE (LATE)","DONE"))))</f>
        <v>DONE</v>
      </c>
      <c r="D79" s="65" t="s">
        <v>136</v>
      </c>
      <c r="E79" s="59" t="s">
        <v>128</v>
      </c>
      <c r="F79" s="7" t="s">
        <v>126</v>
      </c>
      <c r="G79" s="61">
        <v>44499.0</v>
      </c>
      <c r="H79" s="61">
        <v>44499.0</v>
      </c>
      <c r="I79" s="61">
        <v>44499.0</v>
      </c>
      <c r="J79" s="27" t="s">
        <v>66</v>
      </c>
    </row>
    <row r="80" ht="15.75" customHeight="1">
      <c r="A80" s="55"/>
      <c r="B80" s="56" t="s">
        <v>79</v>
      </c>
      <c r="C80" s="57" t="str">
        <f>IF(OR('Action Log'!$G80="",'Action Log'!$G80&gt;TODAY()),"PLANNED",IF('Action Log'!$H80="","",IF('Action Log'!$I80="",IF(TODAY()&gt;='Action Log'!$H80,"IN PROGRESS (LATE)","IN PROGRESS"),IF('Action Log'!$H80&lt;'Action Log'!$I80,"DONE (LATE)","DONE"))))</f>
        <v>DONE</v>
      </c>
      <c r="D80" s="65" t="s">
        <v>147</v>
      </c>
      <c r="E80" s="59" t="s">
        <v>123</v>
      </c>
      <c r="F80" s="7" t="s">
        <v>7</v>
      </c>
      <c r="G80" s="61">
        <v>44455.0</v>
      </c>
      <c r="H80" s="61">
        <v>44462.0</v>
      </c>
      <c r="I80" s="61">
        <v>44462.0</v>
      </c>
      <c r="J80" s="27" t="s">
        <v>66</v>
      </c>
    </row>
    <row r="81" ht="15.75" customHeight="1">
      <c r="A81" s="55"/>
      <c r="B81" s="56" t="s">
        <v>71</v>
      </c>
      <c r="C81" s="57" t="str">
        <f>IF(OR('Action Log'!$G81="",'Action Log'!$G81&gt;TODAY()),"PLANNED",IF('Action Log'!$H81="","",IF('Action Log'!$I81="",IF(TODAY()&gt;='Action Log'!$H81,"IN PROGRESS (LATE)","IN PROGRESS"),IF('Action Log'!$H81&lt;'Action Log'!$I81,"DONE (LATE)","DONE"))))</f>
        <v>DONE</v>
      </c>
      <c r="D81" s="65" t="s">
        <v>148</v>
      </c>
      <c r="E81" s="59" t="s">
        <v>128</v>
      </c>
      <c r="F81" s="7" t="s">
        <v>7</v>
      </c>
      <c r="G81" s="61">
        <v>44499.0</v>
      </c>
      <c r="H81" s="61">
        <v>44499.0</v>
      </c>
      <c r="I81" s="61">
        <v>44499.0</v>
      </c>
      <c r="J81" s="27" t="s">
        <v>66</v>
      </c>
    </row>
    <row r="82" ht="15.75" customHeight="1">
      <c r="A82" s="55"/>
      <c r="B82" s="56" t="s">
        <v>79</v>
      </c>
      <c r="C82" s="57" t="str">
        <f>IF(OR('Action Log'!$G82="",'Action Log'!$G82&gt;TODAY()),"PLANNED",IF('Action Log'!$H82="","",IF('Action Log'!$I82="",IF(TODAY()&gt;='Action Log'!$H82,"IN PROGRESS (LATE)","IN PROGRESS"),IF('Action Log'!$H82&lt;'Action Log'!$I82,"DONE (LATE)","DONE"))))</f>
        <v>DONE</v>
      </c>
      <c r="D82" s="65" t="s">
        <v>149</v>
      </c>
      <c r="E82" s="59" t="s">
        <v>128</v>
      </c>
      <c r="F82" s="7" t="s">
        <v>7</v>
      </c>
      <c r="G82" s="61">
        <v>44455.0</v>
      </c>
      <c r="H82" s="61">
        <v>44459.0</v>
      </c>
      <c r="I82" s="61">
        <v>44459.0</v>
      </c>
      <c r="J82" s="27" t="s">
        <v>66</v>
      </c>
    </row>
    <row r="83" ht="15.75" customHeight="1">
      <c r="A83" s="55"/>
      <c r="B83" s="56" t="s">
        <v>105</v>
      </c>
      <c r="C83" s="57" t="str">
        <f>IF(OR('Action Log'!$G83="",'Action Log'!$G83&gt;TODAY()),"PLANNED",IF('Action Log'!$H83="","",IF('Action Log'!$I83="",IF(TODAY()&gt;='Action Log'!$H83,"IN PROGRESS (LATE)","IN PROGRESS"),IF('Action Log'!$H83&lt;'Action Log'!$I83,"DONE (LATE)","DONE"))))</f>
        <v>DONE</v>
      </c>
      <c r="D83" s="7" t="s">
        <v>150</v>
      </c>
      <c r="E83" s="59" t="s">
        <v>128</v>
      </c>
      <c r="F83" s="7" t="s">
        <v>126</v>
      </c>
      <c r="G83" s="61">
        <v>44456.0</v>
      </c>
      <c r="H83" s="61">
        <v>44457.0</v>
      </c>
      <c r="I83" s="61">
        <v>44456.0</v>
      </c>
      <c r="J83" s="27" t="s">
        <v>66</v>
      </c>
    </row>
    <row r="84" ht="15.75" customHeight="1">
      <c r="A84" s="55"/>
      <c r="B84" s="56" t="s">
        <v>79</v>
      </c>
      <c r="C84" s="57" t="str">
        <f>IF(OR('Action Log'!$G84="",'Action Log'!$G84&gt;TODAY()),"PLANNED",IF('Action Log'!$H84="","",IF('Action Log'!$I84="",IF(TODAY()&gt;='Action Log'!$H84,"IN PROGRESS (LATE)","IN PROGRESS"),IF('Action Log'!$H84&lt;'Action Log'!$I84,"DONE (LATE)","DONE"))))</f>
        <v>DONE</v>
      </c>
      <c r="D84" s="65" t="s">
        <v>151</v>
      </c>
      <c r="E84" s="59" t="s">
        <v>128</v>
      </c>
      <c r="F84" s="7" t="s">
        <v>152</v>
      </c>
      <c r="G84" s="61">
        <v>44452.0</v>
      </c>
      <c r="H84" s="61">
        <v>44452.0</v>
      </c>
      <c r="I84" s="61">
        <v>44452.0</v>
      </c>
      <c r="J84" s="27" t="s">
        <v>66</v>
      </c>
    </row>
    <row r="85" ht="15.75" customHeight="1">
      <c r="A85" s="55"/>
      <c r="B85" s="56" t="s">
        <v>88</v>
      </c>
      <c r="C85" s="57" t="str">
        <f>IF(OR('Action Log'!$G85="",'Action Log'!$G85&gt;TODAY()),"PLANNED",IF('Action Log'!$H85="","",IF('Action Log'!$I85="",IF(TODAY()&gt;='Action Log'!$H85,"IN PROGRESS (LATE)","IN PROGRESS"),IF('Action Log'!$H85&lt;'Action Log'!$I85,"DONE (LATE)","DONE"))))</f>
        <v>DONE</v>
      </c>
      <c r="D85" s="7" t="s">
        <v>153</v>
      </c>
      <c r="E85" s="59" t="s">
        <v>123</v>
      </c>
      <c r="F85" s="7" t="s">
        <v>7</v>
      </c>
      <c r="G85" s="61">
        <v>44444.0</v>
      </c>
      <c r="H85" s="61">
        <v>44444.0</v>
      </c>
      <c r="I85" s="61">
        <v>44444.0</v>
      </c>
      <c r="J85" s="27" t="s">
        <v>66</v>
      </c>
    </row>
    <row r="86" ht="15.75" customHeight="1">
      <c r="A86" s="55"/>
      <c r="B86" s="56" t="s">
        <v>88</v>
      </c>
      <c r="C86" s="57" t="str">
        <f>IF(OR('Action Log'!$G86="",'Action Log'!$G86&gt;TODAY()),"PLANNED",IF('Action Log'!$H86="","",IF('Action Log'!$I86="",IF(TODAY()&gt;='Action Log'!$H86,"IN PROGRESS (LATE)","IN PROGRESS"),IF('Action Log'!$H86&lt;'Action Log'!$I86,"DONE (LATE)","DONE"))))</f>
        <v>DONE</v>
      </c>
      <c r="D86" s="65" t="s">
        <v>154</v>
      </c>
      <c r="E86" s="59" t="s">
        <v>123</v>
      </c>
      <c r="F86" s="7" t="s">
        <v>7</v>
      </c>
      <c r="G86" s="61">
        <v>44442.0</v>
      </c>
      <c r="H86" s="61">
        <v>44444.0</v>
      </c>
      <c r="I86" s="61">
        <v>44444.0</v>
      </c>
      <c r="J86" s="27" t="s">
        <v>66</v>
      </c>
    </row>
    <row r="87" ht="15.75" customHeight="1">
      <c r="A87" s="55"/>
      <c r="B87" s="56" t="s">
        <v>105</v>
      </c>
      <c r="C87" s="57" t="str">
        <f>IF(OR('Action Log'!$G87="",'Action Log'!$G87&gt;TODAY()),"PLANNED",IF('Action Log'!$H87="","",IF('Action Log'!$I87="",IF(TODAY()&gt;='Action Log'!$H87,"IN PROGRESS (LATE)","IN PROGRESS"),IF('Action Log'!$H87&lt;'Action Log'!$I87,"DONE (LATE)","DONE"))))</f>
        <v>DONE</v>
      </c>
      <c r="D87" s="7" t="s">
        <v>8</v>
      </c>
      <c r="E87" s="59" t="s">
        <v>128</v>
      </c>
      <c r="F87" s="7" t="s">
        <v>7</v>
      </c>
      <c r="G87" s="61">
        <v>44443.0</v>
      </c>
      <c r="H87" s="61">
        <v>44443.0</v>
      </c>
      <c r="I87" s="61">
        <v>44443.0</v>
      </c>
      <c r="J87" s="27" t="s">
        <v>66</v>
      </c>
    </row>
    <row r="88" ht="15.75" customHeight="1">
      <c r="A88" s="55"/>
      <c r="B88" s="56" t="s">
        <v>105</v>
      </c>
      <c r="C88" s="57" t="str">
        <f>IF(OR('Action Log'!$G88="",'Action Log'!$G88&gt;TODAY()),"PLANNED",IF('Action Log'!$H88="","",IF('Action Log'!$I88="",IF(TODAY()&gt;='Action Log'!$H88,"IN PROGRESS (LATE)","IN PROGRESS"),IF('Action Log'!$H88&lt;'Action Log'!$I88,"DONE (LATE)","DONE"))))</f>
        <v>DONE</v>
      </c>
      <c r="D88" s="65" t="s">
        <v>141</v>
      </c>
      <c r="E88" s="59" t="s">
        <v>128</v>
      </c>
      <c r="F88" s="7" t="s">
        <v>126</v>
      </c>
      <c r="G88" s="61">
        <v>44443.0</v>
      </c>
      <c r="H88" s="61">
        <v>44443.0</v>
      </c>
      <c r="I88" s="61">
        <v>44443.0</v>
      </c>
      <c r="J88" s="27" t="s">
        <v>66</v>
      </c>
    </row>
    <row r="89" ht="15.75" customHeight="1">
      <c r="A89" s="55"/>
      <c r="B89" s="56" t="s">
        <v>88</v>
      </c>
      <c r="C89" s="57" t="str">
        <f>IF(OR('Action Log'!$G89="",'Action Log'!$G89&gt;TODAY()),"PLANNED",IF('Action Log'!$H89="","",IF('Action Log'!$I89="",IF(TODAY()&gt;='Action Log'!$H89,"IN PROGRESS (LATE)","IN PROGRESS"),IF('Action Log'!$H89&lt;'Action Log'!$I89,"DONE (LATE)","DONE"))))</f>
        <v>DONE</v>
      </c>
      <c r="D89" s="65" t="s">
        <v>155</v>
      </c>
      <c r="E89" s="59" t="s">
        <v>123</v>
      </c>
      <c r="F89" s="7" t="s">
        <v>7</v>
      </c>
      <c r="G89" s="61">
        <v>44434.0</v>
      </c>
      <c r="H89" s="61">
        <v>44442.0</v>
      </c>
      <c r="I89" s="61">
        <v>44442.0</v>
      </c>
      <c r="J89" s="27" t="s">
        <v>66</v>
      </c>
    </row>
    <row r="90" ht="15.75" customHeight="1">
      <c r="A90" s="55"/>
      <c r="B90" s="56" t="s">
        <v>88</v>
      </c>
      <c r="C90" s="57" t="str">
        <f>IF(OR('Action Log'!$G90="",'Action Log'!$G90&gt;TODAY()),"PLANNED",IF('Action Log'!$H90="","",IF('Action Log'!$I90="",IF(TODAY()&gt;='Action Log'!$H90,"IN PROGRESS (LATE)","IN PROGRESS"),IF('Action Log'!$H90&lt;'Action Log'!$I90,"DONE (LATE)","DONE"))))</f>
        <v>DONE</v>
      </c>
      <c r="D90" s="65" t="s">
        <v>156</v>
      </c>
      <c r="E90" s="59" t="s">
        <v>123</v>
      </c>
      <c r="F90" s="7" t="s">
        <v>23</v>
      </c>
      <c r="G90" s="61">
        <v>44434.0</v>
      </c>
      <c r="H90" s="61">
        <v>44442.0</v>
      </c>
      <c r="I90" s="61">
        <v>44442.0</v>
      </c>
      <c r="J90" s="27" t="s">
        <v>66</v>
      </c>
    </row>
    <row r="91" ht="15.75" customHeight="1">
      <c r="A91" s="55"/>
      <c r="B91" s="56" t="s">
        <v>88</v>
      </c>
      <c r="C91" s="57" t="str">
        <f>IF(OR('Action Log'!$G91="",'Action Log'!$G91&gt;TODAY()),"PLANNED",IF('Action Log'!$H91="","",IF('Action Log'!$I91="",IF(TODAY()&gt;='Action Log'!$H91,"IN PROGRESS (LATE)","IN PROGRESS"),IF('Action Log'!$H91&lt;'Action Log'!$I91,"DONE (LATE)","DONE"))))</f>
        <v>DONE</v>
      </c>
      <c r="D91" s="65" t="s">
        <v>157</v>
      </c>
      <c r="E91" s="59" t="s">
        <v>123</v>
      </c>
      <c r="F91" s="7" t="s">
        <v>126</v>
      </c>
      <c r="G91" s="61">
        <v>44431.0</v>
      </c>
      <c r="H91" s="61">
        <v>44435.0</v>
      </c>
      <c r="I91" s="61">
        <v>44434.0</v>
      </c>
      <c r="J91" s="27" t="s">
        <v>66</v>
      </c>
    </row>
    <row r="92" ht="15.75" customHeight="1">
      <c r="A92" s="55"/>
      <c r="B92" s="56" t="s">
        <v>88</v>
      </c>
      <c r="C92" s="57" t="str">
        <f>IF(OR('Action Log'!$G92="",'Action Log'!$G92&gt;TODAY()),"PLANNED",IF('Action Log'!$H92="","",IF('Action Log'!$I92="",IF(TODAY()&gt;='Action Log'!$H92,"IN PROGRESS (LATE)","IN PROGRESS"),IF('Action Log'!$H92&lt;'Action Log'!$I92,"DONE (LATE)","DONE"))))</f>
        <v>DONE</v>
      </c>
      <c r="D92" s="65" t="s">
        <v>158</v>
      </c>
      <c r="E92" s="59" t="s">
        <v>123</v>
      </c>
      <c r="F92" s="7" t="s">
        <v>9</v>
      </c>
      <c r="G92" s="61">
        <v>44435.0</v>
      </c>
      <c r="H92" s="61">
        <v>44435.0</v>
      </c>
      <c r="I92" s="61">
        <v>44435.0</v>
      </c>
      <c r="J92" s="27" t="s">
        <v>66</v>
      </c>
    </row>
    <row r="93" ht="15.75" customHeight="1">
      <c r="A93" s="55"/>
      <c r="B93" s="56" t="s">
        <v>88</v>
      </c>
      <c r="C93" s="57" t="str">
        <f>IF(OR('Action Log'!$G93="",'Action Log'!$G93&gt;TODAY()),"PLANNED",IF('Action Log'!$H93="","",IF('Action Log'!$I93="",IF(TODAY()&gt;='Action Log'!$H93,"IN PROGRESS (LATE)","IN PROGRESS"),IF('Action Log'!$H93&lt;'Action Log'!$I93,"DONE (LATE)","DONE"))))</f>
        <v>DONE</v>
      </c>
      <c r="D93" s="66" t="s">
        <v>25</v>
      </c>
      <c r="E93" s="59" t="s">
        <v>123</v>
      </c>
      <c r="F93" s="7" t="s">
        <v>9</v>
      </c>
      <c r="G93" s="61">
        <v>44435.0</v>
      </c>
      <c r="H93" s="61">
        <v>44435.0</v>
      </c>
      <c r="I93" s="61">
        <v>44435.0</v>
      </c>
      <c r="J93" s="27" t="s">
        <v>66</v>
      </c>
    </row>
    <row r="94" ht="15.75" customHeight="1">
      <c r="A94" s="55"/>
      <c r="B94" s="56" t="s">
        <v>88</v>
      </c>
      <c r="C94" s="57" t="str">
        <f>IF(OR('Action Log'!$G94="",'Action Log'!$G94&gt;TODAY()),"PLANNED",IF('Action Log'!$H94="","",IF('Action Log'!$I94="",IF(TODAY()&gt;='Action Log'!$H94,"IN PROGRESS (LATE)","IN PROGRESS"),IF('Action Log'!$H94&lt;'Action Log'!$I94,"DONE (LATE)","DONE"))))</f>
        <v>DONE</v>
      </c>
      <c r="D94" s="65" t="s">
        <v>159</v>
      </c>
      <c r="E94" s="59" t="s">
        <v>123</v>
      </c>
      <c r="F94" s="7" t="s">
        <v>9</v>
      </c>
      <c r="G94" s="61">
        <v>44435.0</v>
      </c>
      <c r="H94" s="61">
        <v>44435.0</v>
      </c>
      <c r="I94" s="61">
        <v>44435.0</v>
      </c>
      <c r="J94" s="27" t="s">
        <v>66</v>
      </c>
    </row>
    <row r="95" ht="15.75" customHeight="1">
      <c r="A95" s="55"/>
      <c r="B95" s="56" t="s">
        <v>88</v>
      </c>
      <c r="C95" s="57" t="str">
        <f>IF(OR('Action Log'!$G95="",'Action Log'!$G95&gt;TODAY()),"PLANNED",IF('Action Log'!$H95="","",IF('Action Log'!$I95="",IF(TODAY()&gt;='Action Log'!$H95,"IN PROGRESS (LATE)","IN PROGRESS"),IF('Action Log'!$H95&lt;'Action Log'!$I95,"DONE (LATE)","DONE"))))</f>
        <v>DONE</v>
      </c>
      <c r="D95" s="65" t="s">
        <v>160</v>
      </c>
      <c r="E95" s="59" t="s">
        <v>123</v>
      </c>
      <c r="F95" s="7" t="s">
        <v>7</v>
      </c>
      <c r="G95" s="61">
        <v>44434.0</v>
      </c>
      <c r="H95" s="61">
        <v>44434.0</v>
      </c>
      <c r="I95" s="61">
        <v>44434.0</v>
      </c>
      <c r="J95" s="27" t="s">
        <v>66</v>
      </c>
    </row>
    <row r="96" ht="15.75" customHeight="1">
      <c r="A96" s="55"/>
      <c r="B96" s="56" t="s">
        <v>88</v>
      </c>
      <c r="C96" s="57" t="str">
        <f>IF(OR('Action Log'!$G96="",'Action Log'!$G96&gt;TODAY()),"PLANNED",IF('Action Log'!$H96="","",IF('Action Log'!$I96="",IF(TODAY()&gt;='Action Log'!$H96,"IN PROGRESS (LATE)","IN PROGRESS"),IF('Action Log'!$H96&lt;'Action Log'!$I96,"DONE (LATE)","DONE"))))</f>
        <v>DONE</v>
      </c>
      <c r="D96" s="65" t="s">
        <v>161</v>
      </c>
      <c r="E96" s="59" t="s">
        <v>123</v>
      </c>
      <c r="F96" s="7" t="s">
        <v>7</v>
      </c>
      <c r="G96" s="61">
        <v>44434.0</v>
      </c>
      <c r="H96" s="61">
        <v>44434.0</v>
      </c>
      <c r="I96" s="61">
        <v>44434.0</v>
      </c>
      <c r="J96" s="27" t="s">
        <v>66</v>
      </c>
    </row>
    <row r="97" ht="15.75" customHeight="1">
      <c r="A97" s="55"/>
      <c r="B97" s="56" t="s">
        <v>102</v>
      </c>
      <c r="C97" s="57" t="str">
        <f>IF(OR('Action Log'!$G97="",'Action Log'!$G97&gt;TODAY()),"PLANNED",IF('Action Log'!$H97="","",IF('Action Log'!$I97="",IF(TODAY()&gt;='Action Log'!$H97,"IN PROGRESS (LATE)","IN PROGRESS"),IF('Action Log'!$H97&lt;'Action Log'!$I97,"DONE (LATE)","DONE"))))</f>
        <v>DONE</v>
      </c>
      <c r="D97" s="65" t="s">
        <v>148</v>
      </c>
      <c r="E97" s="59" t="s">
        <v>128</v>
      </c>
      <c r="F97" s="7" t="s">
        <v>7</v>
      </c>
      <c r="G97" s="61">
        <v>44372.0</v>
      </c>
      <c r="H97" s="61">
        <v>44373.0</v>
      </c>
      <c r="I97" s="61">
        <v>44373.0</v>
      </c>
      <c r="J97" s="27" t="s">
        <v>66</v>
      </c>
    </row>
    <row r="98" ht="15.75" customHeight="1">
      <c r="A98" s="55"/>
      <c r="B98" s="56" t="s">
        <v>102</v>
      </c>
      <c r="C98" s="57" t="str">
        <f>IF(OR('Action Log'!$G98="",'Action Log'!$G98&gt;TODAY()),"PLANNED",IF('Action Log'!$H98="","",IF('Action Log'!$I98="",IF(TODAY()&gt;='Action Log'!$H98,"IN PROGRESS (LATE)","IN PROGRESS"),IF('Action Log'!$H98&lt;'Action Log'!$I98,"DONE (LATE)","DONE"))))</f>
        <v>DONE</v>
      </c>
      <c r="D98" s="65" t="s">
        <v>162</v>
      </c>
      <c r="E98" s="59" t="s">
        <v>128</v>
      </c>
      <c r="F98" s="7" t="s">
        <v>7</v>
      </c>
      <c r="G98" s="61">
        <v>44318.0</v>
      </c>
      <c r="H98" s="61">
        <v>44318.0</v>
      </c>
      <c r="I98" s="61">
        <v>44318.0</v>
      </c>
      <c r="J98" s="27" t="s">
        <v>66</v>
      </c>
    </row>
    <row r="99" ht="15.75" customHeight="1">
      <c r="A99" s="55"/>
      <c r="B99" s="56" t="s">
        <v>102</v>
      </c>
      <c r="C99" s="57" t="str">
        <f>IF(OR('Action Log'!$G99="",'Action Log'!$G99&gt;TODAY()),"PLANNED",IF('Action Log'!$H99="","",IF('Action Log'!$I99="",IF(TODAY()&gt;='Action Log'!$H99,"IN PROGRESS (LATE)","IN PROGRESS"),IF('Action Log'!$H99&lt;'Action Log'!$I99,"DONE (LATE)","DONE"))))</f>
        <v>DONE</v>
      </c>
      <c r="D99" s="65" t="s">
        <v>163</v>
      </c>
      <c r="E99" s="59" t="s">
        <v>128</v>
      </c>
      <c r="F99" s="7" t="s">
        <v>133</v>
      </c>
      <c r="G99" s="61">
        <v>44315.0</v>
      </c>
      <c r="H99" s="61">
        <v>44316.0</v>
      </c>
      <c r="I99" s="61">
        <v>44316.0</v>
      </c>
      <c r="J99" s="27" t="s">
        <v>66</v>
      </c>
    </row>
    <row r="100" ht="15.75" customHeight="1">
      <c r="A100" s="55"/>
      <c r="B100" s="56" t="s">
        <v>102</v>
      </c>
      <c r="C100" s="57" t="str">
        <f>IF(OR('Action Log'!$G100="",'Action Log'!$G100&gt;TODAY()),"PLANNED",IF('Action Log'!$H100="","",IF('Action Log'!$I100="",IF(TODAY()&gt;='Action Log'!$H100,"IN PROGRESS (LATE)","IN PROGRESS"),IF('Action Log'!$H100&lt;'Action Log'!$I100,"DONE (LATE)","DONE"))))</f>
        <v>DONE</v>
      </c>
      <c r="D100" s="65" t="s">
        <v>12</v>
      </c>
      <c r="E100" s="59" t="s">
        <v>128</v>
      </c>
      <c r="F100" s="7" t="s">
        <v>7</v>
      </c>
      <c r="G100" s="61">
        <v>44312.0</v>
      </c>
      <c r="H100" s="61">
        <v>44315.0</v>
      </c>
      <c r="I100" s="61">
        <v>44315.0</v>
      </c>
      <c r="J100" s="27" t="s">
        <v>66</v>
      </c>
    </row>
    <row r="101" ht="15.75" customHeight="1">
      <c r="A101" s="55"/>
      <c r="B101" s="56" t="s">
        <v>102</v>
      </c>
      <c r="C101" s="57" t="str">
        <f>IF(OR('Action Log'!$G101="",'Action Log'!$G101&gt;TODAY()),"PLANNED",IF('Action Log'!$H101="","",IF('Action Log'!$I101="",IF(TODAY()&gt;='Action Log'!$H101,"IN PROGRESS (LATE)","IN PROGRESS"),IF('Action Log'!$H101&lt;'Action Log'!$I101,"DONE (LATE)","DONE"))))</f>
        <v>DONE</v>
      </c>
      <c r="D101" s="65" t="s">
        <v>136</v>
      </c>
      <c r="E101" s="59" t="s">
        <v>128</v>
      </c>
      <c r="F101" s="7" t="s">
        <v>126</v>
      </c>
      <c r="G101" s="61">
        <v>44311.0</v>
      </c>
      <c r="H101" s="61">
        <v>44311.0</v>
      </c>
      <c r="I101" s="61">
        <v>44311.0</v>
      </c>
      <c r="J101" s="27" t="s">
        <v>66</v>
      </c>
    </row>
    <row r="102" ht="15.75" customHeight="1">
      <c r="A102" s="55"/>
      <c r="B102" s="56" t="s">
        <v>74</v>
      </c>
      <c r="C102" s="57" t="str">
        <f>IF(OR('Action Log'!$G102="",'Action Log'!$G102&gt;TODAY()),"PLANNED",IF('Action Log'!$H102="","",IF('Action Log'!$I102="",IF(TODAY()&gt;='Action Log'!$H102,"IN PROGRESS (LATE)","IN PROGRESS"),IF('Action Log'!$H102&lt;'Action Log'!$I102,"DONE (LATE)","DONE"))))</f>
        <v>DONE</v>
      </c>
      <c r="D102" s="65" t="s">
        <v>164</v>
      </c>
      <c r="E102" s="59" t="s">
        <v>128</v>
      </c>
      <c r="F102" s="7" t="s">
        <v>7</v>
      </c>
      <c r="G102" s="61">
        <v>44526.0</v>
      </c>
      <c r="H102" s="61">
        <v>44526.0</v>
      </c>
      <c r="I102" s="61">
        <v>44526.0</v>
      </c>
      <c r="J102" s="27" t="s">
        <v>66</v>
      </c>
    </row>
    <row r="103" ht="15.75" customHeight="1">
      <c r="A103" s="55"/>
      <c r="B103" s="56" t="s">
        <v>74</v>
      </c>
      <c r="C103" s="57" t="str">
        <f>IF(OR('Action Log'!$G103="",'Action Log'!$G103&gt;TODAY()),"PLANNED",IF('Action Log'!$H103="","",IF('Action Log'!$I103="",IF(TODAY()&gt;='Action Log'!$H103,"IN PROGRESS (LATE)","IN PROGRESS"),IF('Action Log'!$H103&lt;'Action Log'!$I103,"DONE (LATE)","DONE"))))</f>
        <v>DONE</v>
      </c>
      <c r="D103" s="7" t="s">
        <v>165</v>
      </c>
      <c r="E103" s="59" t="s">
        <v>128</v>
      </c>
      <c r="F103" s="7" t="s">
        <v>7</v>
      </c>
      <c r="G103" s="61">
        <v>44525.0</v>
      </c>
      <c r="H103" s="61">
        <v>44527.0</v>
      </c>
      <c r="I103" s="61">
        <v>44526.0</v>
      </c>
      <c r="J103" s="27" t="s">
        <v>66</v>
      </c>
    </row>
    <row r="104" ht="15.75" customHeight="1">
      <c r="A104" s="55"/>
      <c r="B104" s="56" t="s">
        <v>69</v>
      </c>
      <c r="C104" s="57" t="str">
        <f>IF(OR('Action Log'!$G104="",'Action Log'!$G104&gt;TODAY()),"PLANNED",IF('Action Log'!$H104="","",IF('Action Log'!$I104="",IF(TODAY()&gt;='Action Log'!$H104,"IN PROGRESS (LATE)","IN PROGRESS"),IF('Action Log'!$H104&lt;'Action Log'!$I104,"DONE (LATE)","DONE"))))</f>
        <v>DONE (LATE)</v>
      </c>
      <c r="D104" s="58" t="s">
        <v>12</v>
      </c>
      <c r="E104" s="59" t="s">
        <v>128</v>
      </c>
      <c r="F104" s="58" t="s">
        <v>13</v>
      </c>
      <c r="G104" s="61">
        <v>44537.0</v>
      </c>
      <c r="H104" s="61">
        <v>44543.0</v>
      </c>
      <c r="I104" s="61">
        <v>44563.0</v>
      </c>
      <c r="J104" s="27" t="s">
        <v>66</v>
      </c>
    </row>
    <row r="105" ht="15.75" customHeight="1">
      <c r="A105" s="55"/>
      <c r="B105" s="56" t="s">
        <v>74</v>
      </c>
      <c r="C105" s="57" t="str">
        <f>IF(OR('Action Log'!$G105="",'Action Log'!$G105&gt;TODAY()),"PLANNED",IF('Action Log'!$H105="","",IF('Action Log'!$I105="",IF(TODAY()&gt;='Action Log'!$H105,"IN PROGRESS (LATE)","IN PROGRESS"),IF('Action Log'!$H105&lt;'Action Log'!$I105,"DONE (LATE)","DONE"))))</f>
        <v>DONE</v>
      </c>
      <c r="D105" s="65" t="s">
        <v>14</v>
      </c>
      <c r="E105" s="59" t="s">
        <v>128</v>
      </c>
      <c r="F105" s="7" t="s">
        <v>134</v>
      </c>
      <c r="G105" s="61">
        <v>44522.0</v>
      </c>
      <c r="H105" s="61">
        <v>44522.0</v>
      </c>
      <c r="I105" s="61">
        <v>44522.0</v>
      </c>
      <c r="J105" s="27" t="s">
        <v>66</v>
      </c>
    </row>
    <row r="106" ht="15.75" customHeight="1">
      <c r="A106" s="55"/>
      <c r="B106" s="56" t="s">
        <v>74</v>
      </c>
      <c r="C106" s="57" t="str">
        <f>IF(OR('Action Log'!$G106="",'Action Log'!$G106&gt;TODAY()),"PLANNED",IF('Action Log'!$H106="","",IF('Action Log'!$I106="",IF(TODAY()&gt;='Action Log'!$H106,"IN PROGRESS (LATE)","IN PROGRESS"),IF('Action Log'!$H106&lt;'Action Log'!$I106,"DONE (LATE)","DONE"))))</f>
        <v>DONE</v>
      </c>
      <c r="D106" s="65" t="s">
        <v>12</v>
      </c>
      <c r="E106" s="59" t="s">
        <v>128</v>
      </c>
      <c r="F106" s="7" t="s">
        <v>13</v>
      </c>
      <c r="G106" s="61">
        <v>44518.0</v>
      </c>
      <c r="H106" s="61">
        <v>44519.0</v>
      </c>
      <c r="I106" s="61">
        <v>44519.0</v>
      </c>
      <c r="J106" s="27" t="s">
        <v>66</v>
      </c>
    </row>
    <row r="107" ht="15.75" customHeight="1">
      <c r="A107" s="55"/>
      <c r="B107" s="56" t="s">
        <v>74</v>
      </c>
      <c r="C107" s="57" t="str">
        <f>IF(OR('Action Log'!$G107="",'Action Log'!$G107&gt;TODAY()),"PLANNED",IF('Action Log'!$H107="","",IF('Action Log'!$I107="",IF(TODAY()&gt;='Action Log'!$H107,"IN PROGRESS (LATE)","IN PROGRESS"),IF('Action Log'!$H107&lt;'Action Log'!$I107,"DONE (LATE)","DONE"))))</f>
        <v>DONE</v>
      </c>
      <c r="D107" s="65" t="s">
        <v>136</v>
      </c>
      <c r="E107" s="59" t="s">
        <v>128</v>
      </c>
      <c r="F107" s="7" t="s">
        <v>7</v>
      </c>
      <c r="G107" s="61">
        <v>44514.0</v>
      </c>
      <c r="H107" s="61">
        <v>44514.0</v>
      </c>
      <c r="I107" s="61">
        <v>44514.0</v>
      </c>
      <c r="J107" s="27" t="s">
        <v>66</v>
      </c>
    </row>
    <row r="108" ht="15.75" customHeight="1">
      <c r="A108" s="55"/>
      <c r="B108" s="56" t="s">
        <v>77</v>
      </c>
      <c r="C108" s="57" t="str">
        <f>IF(OR('Action Log'!$G108="",'Action Log'!$G108&gt;TODAY()),"PLANNED",IF('Action Log'!$H108="","",IF('Action Log'!$I108="",IF(TODAY()&gt;='Action Log'!$H108,"IN PROGRESS (LATE)","IN PROGRESS"),IF('Action Log'!$H108&lt;'Action Log'!$I108,"DONE (LATE)","DONE"))))</f>
        <v>DONE (LATE)</v>
      </c>
      <c r="D108" s="7" t="s">
        <v>27</v>
      </c>
      <c r="E108" s="59" t="s">
        <v>123</v>
      </c>
      <c r="F108" s="7" t="s">
        <v>28</v>
      </c>
      <c r="G108" s="61">
        <v>44536.0</v>
      </c>
      <c r="H108" s="61">
        <v>44540.0</v>
      </c>
      <c r="I108" s="61">
        <v>44547.0</v>
      </c>
      <c r="J108" s="27" t="s">
        <v>66</v>
      </c>
    </row>
    <row r="109" ht="15.75" customHeight="1">
      <c r="A109" s="55"/>
      <c r="B109" s="56" t="s">
        <v>77</v>
      </c>
      <c r="C109" s="57" t="str">
        <f>IF(OR('Action Log'!$G109="",'Action Log'!$G109&gt;TODAY()),"PLANNED",IF('Action Log'!$H109="","",IF('Action Log'!$I109="",IF(TODAY()&gt;='Action Log'!$H109,"IN PROGRESS (LATE)","IN PROGRESS"),IF('Action Log'!$H109&lt;'Action Log'!$I109,"DONE (LATE)","DONE"))))</f>
        <v>DONE (LATE)</v>
      </c>
      <c r="D109" s="7" t="s">
        <v>32</v>
      </c>
      <c r="E109" s="59" t="s">
        <v>123</v>
      </c>
      <c r="F109" s="7" t="s">
        <v>124</v>
      </c>
      <c r="G109" s="61">
        <v>44522.0</v>
      </c>
      <c r="H109" s="61">
        <v>44533.0</v>
      </c>
      <c r="I109" s="61">
        <v>44539.0</v>
      </c>
      <c r="J109" s="27" t="s">
        <v>66</v>
      </c>
    </row>
    <row r="110" ht="15.75" customHeight="1">
      <c r="A110" s="55"/>
      <c r="B110" s="56" t="s">
        <v>74</v>
      </c>
      <c r="C110" s="57" t="str">
        <f>IF(OR('Action Log'!$G110="",'Action Log'!$G110&gt;TODAY()),"PLANNED",IF('Action Log'!$H110="","",IF('Action Log'!$I110="",IF(TODAY()&gt;='Action Log'!$H110,"IN PROGRESS (LATE)","IN PROGRESS"),IF('Action Log'!$H110&lt;'Action Log'!$I110,"DONE (LATE)","DONE"))))</f>
        <v>DONE</v>
      </c>
      <c r="D110" s="65" t="s">
        <v>18</v>
      </c>
      <c r="E110" s="59" t="s">
        <v>128</v>
      </c>
      <c r="F110" s="7" t="s">
        <v>7</v>
      </c>
      <c r="G110" s="61">
        <v>44511.0</v>
      </c>
      <c r="H110" s="61">
        <v>44514.0</v>
      </c>
      <c r="I110" s="61">
        <v>44514.0</v>
      </c>
      <c r="J110" s="27" t="s">
        <v>66</v>
      </c>
    </row>
    <row r="111" ht="15.75" customHeight="1">
      <c r="A111" s="55"/>
      <c r="B111" s="56" t="s">
        <v>71</v>
      </c>
      <c r="C111" s="57" t="str">
        <f>IF(OR('Action Log'!$G111="",'Action Log'!$G111&gt;TODAY()),"PLANNED",IF('Action Log'!$H111="","",IF('Action Log'!$I111="",IF(TODAY()&gt;='Action Log'!$H111,"IN PROGRESS (LATE)","IN PROGRESS"),IF('Action Log'!$H111&lt;'Action Log'!$I111,"DONE (LATE)","DONE"))))</f>
        <v>DONE</v>
      </c>
      <c r="D111" s="58" t="s">
        <v>18</v>
      </c>
      <c r="E111" s="59" t="s">
        <v>128</v>
      </c>
      <c r="F111" s="7" t="s">
        <v>137</v>
      </c>
      <c r="G111" s="61">
        <v>44480.0</v>
      </c>
      <c r="H111" s="61">
        <v>44484.0</v>
      </c>
      <c r="I111" s="61">
        <v>44484.0</v>
      </c>
      <c r="J111" s="27" t="s">
        <v>66</v>
      </c>
    </row>
    <row r="112" ht="15.75" customHeight="1">
      <c r="A112" s="55"/>
      <c r="B112" s="56" t="s">
        <v>71</v>
      </c>
      <c r="C112" s="57" t="str">
        <f>IF(OR('Action Log'!$G112="",'Action Log'!$G112&gt;TODAY()),"PLANNED",IF('Action Log'!$H112="","",IF('Action Log'!$I112="",IF(TODAY()&gt;='Action Log'!$H112,"IN PROGRESS (LATE)","IN PROGRESS"),IF('Action Log'!$H112&lt;'Action Log'!$I112,"DONE (LATE)","DONE"))))</f>
        <v>DONE (LATE)</v>
      </c>
      <c r="D112" s="7" t="s">
        <v>14</v>
      </c>
      <c r="E112" s="59" t="s">
        <v>128</v>
      </c>
      <c r="F112" s="7" t="s">
        <v>137</v>
      </c>
      <c r="G112" s="61">
        <v>44472.0</v>
      </c>
      <c r="H112" s="61">
        <v>44472.0</v>
      </c>
      <c r="I112" s="61">
        <v>44480.0</v>
      </c>
      <c r="J112" s="27" t="s">
        <v>66</v>
      </c>
    </row>
    <row r="113" ht="15.75" customHeight="1">
      <c r="A113" s="55"/>
      <c r="B113" s="56" t="s">
        <v>73</v>
      </c>
      <c r="C113" s="57" t="str">
        <f>IF(OR('Action Log'!$G113="",'Action Log'!$G113&gt;TODAY()),"PLANNED",IF('Action Log'!$H113="","",IF('Action Log'!$I113="",IF(TODAY()&gt;='Action Log'!$H113,"IN PROGRESS (LATE)","IN PROGRESS"),IF('Action Log'!$H113&lt;'Action Log'!$I113,"DONE (LATE)","DONE"))))</f>
        <v>DONE (LATE)</v>
      </c>
      <c r="D113" s="65" t="s">
        <v>14</v>
      </c>
      <c r="E113" s="59" t="s">
        <v>123</v>
      </c>
      <c r="F113" s="7" t="s">
        <v>7</v>
      </c>
      <c r="G113" s="61">
        <v>44485.0</v>
      </c>
      <c r="H113" s="61">
        <v>44485.0</v>
      </c>
      <c r="I113" s="61">
        <v>44490.0</v>
      </c>
      <c r="J113" s="27" t="s">
        <v>66</v>
      </c>
    </row>
    <row r="114" ht="15.75" customHeight="1">
      <c r="A114" s="55"/>
      <c r="B114" s="56" t="s">
        <v>71</v>
      </c>
      <c r="C114" s="57" t="str">
        <f>IF(OR('Action Log'!$G114="",'Action Log'!$G114&gt;TODAY()),"PLANNED",IF('Action Log'!$H114="","",IF('Action Log'!$I114="",IF(TODAY()&gt;='Action Log'!$H114,"IN PROGRESS (LATE)","IN PROGRESS"),IF('Action Log'!$H114&lt;'Action Log'!$I114,"DONE (LATE)","DONE"))))</f>
        <v>DONE</v>
      </c>
      <c r="D114" s="58" t="s">
        <v>12</v>
      </c>
      <c r="E114" s="59" t="s">
        <v>128</v>
      </c>
      <c r="F114" s="7" t="s">
        <v>7</v>
      </c>
      <c r="G114" s="61">
        <v>44466.0</v>
      </c>
      <c r="H114" s="61">
        <v>44470.0</v>
      </c>
      <c r="I114" s="61">
        <v>44470.0</v>
      </c>
      <c r="J114" s="27" t="s">
        <v>66</v>
      </c>
    </row>
    <row r="115" ht="15.75" customHeight="1">
      <c r="A115" s="55"/>
      <c r="B115" s="56" t="s">
        <v>79</v>
      </c>
      <c r="C115" s="57" t="str">
        <f>IF(OR('Action Log'!$G115="",'Action Log'!$G115&gt;TODAY()),"PLANNED",IF('Action Log'!$H115="","",IF('Action Log'!$I115="",IF(TODAY()&gt;='Action Log'!$H115,"IN PROGRESS (LATE)","IN PROGRESS"),IF('Action Log'!$H115&lt;'Action Log'!$I115,"DONE (LATE)","DONE"))))</f>
        <v>DONE (LATE)</v>
      </c>
      <c r="D115" s="62" t="s">
        <v>49</v>
      </c>
      <c r="E115" s="59" t="s">
        <v>123</v>
      </c>
      <c r="F115" s="7" t="s">
        <v>7</v>
      </c>
      <c r="G115" s="61">
        <v>44462.0</v>
      </c>
      <c r="H115" s="61">
        <v>44469.0</v>
      </c>
      <c r="I115" s="61">
        <v>44476.0</v>
      </c>
      <c r="J115" s="27" t="s">
        <v>66</v>
      </c>
    </row>
    <row r="116" ht="15.75" customHeight="1">
      <c r="A116" s="55"/>
      <c r="B116" s="56" t="s">
        <v>71</v>
      </c>
      <c r="C116" s="57" t="str">
        <f>IF(OR('Action Log'!$G116="",'Action Log'!$G116&gt;TODAY()),"PLANNED",IF('Action Log'!$H116="","",IF('Action Log'!$I116="",IF(TODAY()&gt;='Action Log'!$H116,"IN PROGRESS (LATE)","IN PROGRESS"),IF('Action Log'!$H116&lt;'Action Log'!$I116,"DONE (LATE)","DONE"))))</f>
        <v>DONE</v>
      </c>
      <c r="D116" s="7" t="s">
        <v>166</v>
      </c>
      <c r="E116" s="59" t="s">
        <v>128</v>
      </c>
      <c r="F116" s="7" t="s">
        <v>7</v>
      </c>
      <c r="G116" s="61">
        <v>44459.0</v>
      </c>
      <c r="H116" s="61">
        <v>44459.0</v>
      </c>
      <c r="I116" s="61">
        <v>44459.0</v>
      </c>
      <c r="J116" s="27" t="s">
        <v>66</v>
      </c>
    </row>
    <row r="117" ht="15.75" customHeight="1">
      <c r="A117" s="55"/>
      <c r="B117" s="56" t="s">
        <v>105</v>
      </c>
      <c r="C117" s="57" t="str">
        <f>IF(OR('Action Log'!$G117="",'Action Log'!$G117&gt;TODAY()),"PLANNED",IF('Action Log'!$H117="","",IF('Action Log'!$I117="",IF(TODAY()&gt;='Action Log'!$H117,"IN PROGRESS (LATE)","IN PROGRESS"),IF('Action Log'!$H117&lt;'Action Log'!$I117,"DONE (LATE)","DONE"))))</f>
        <v>DONE (LATE)</v>
      </c>
      <c r="D117" s="58" t="s">
        <v>16</v>
      </c>
      <c r="E117" s="59" t="s">
        <v>128</v>
      </c>
      <c r="F117" s="7" t="s">
        <v>7</v>
      </c>
      <c r="G117" s="61">
        <v>44457.0</v>
      </c>
      <c r="H117" s="61">
        <v>44458.0</v>
      </c>
      <c r="I117" s="61">
        <v>44476.0</v>
      </c>
      <c r="J117" s="27" t="s">
        <v>66</v>
      </c>
    </row>
    <row r="118" ht="15.75" customHeight="1">
      <c r="A118" s="55"/>
      <c r="B118" s="56" t="s">
        <v>105</v>
      </c>
      <c r="C118" s="57" t="str">
        <f>IF(OR('Action Log'!$G118="",'Action Log'!$G118&gt;TODAY()),"PLANNED",IF('Action Log'!$H118="","",IF('Action Log'!$I118="",IF(TODAY()&gt;='Action Log'!$H118,"IN PROGRESS (LATE)","IN PROGRESS"),IF('Action Log'!$H118&lt;'Action Log'!$I118,"DONE (LATE)","DONE"))))</f>
        <v>DONE (LATE)</v>
      </c>
      <c r="D118" s="65" t="s">
        <v>14</v>
      </c>
      <c r="E118" s="59" t="s">
        <v>128</v>
      </c>
      <c r="F118" s="7" t="s">
        <v>23</v>
      </c>
      <c r="G118" s="61">
        <v>44455.0</v>
      </c>
      <c r="H118" s="61">
        <v>44455.0</v>
      </c>
      <c r="I118" s="61">
        <v>44457.0</v>
      </c>
      <c r="J118" s="27" t="s">
        <v>66</v>
      </c>
    </row>
    <row r="119" ht="15.75" customHeight="1">
      <c r="A119" s="55"/>
      <c r="B119" s="56" t="s">
        <v>79</v>
      </c>
      <c r="C119" s="57" t="str">
        <f>IF(OR('Action Log'!$G119="",'Action Log'!$G119&gt;TODAY()),"PLANNED",IF('Action Log'!$H119="","",IF('Action Log'!$I119="",IF(TODAY()&gt;='Action Log'!$H119,"IN PROGRESS (LATE)","IN PROGRESS"),IF('Action Log'!$H119&lt;'Action Log'!$I119,"DONE (LATE)","DONE"))))</f>
        <v>DONE (LATE)</v>
      </c>
      <c r="D119" s="7" t="s">
        <v>167</v>
      </c>
      <c r="E119" s="59" t="s">
        <v>128</v>
      </c>
      <c r="F119" s="7" t="s">
        <v>126</v>
      </c>
      <c r="G119" s="61">
        <v>44452.0</v>
      </c>
      <c r="H119" s="61">
        <v>44452.0</v>
      </c>
      <c r="I119" s="61">
        <v>44455.0</v>
      </c>
      <c r="J119" s="27" t="s">
        <v>66</v>
      </c>
    </row>
    <row r="120" ht="15.75" customHeight="1">
      <c r="A120" s="55"/>
      <c r="B120" s="56" t="s">
        <v>105</v>
      </c>
      <c r="C120" s="57" t="str">
        <f>IF(OR('Action Log'!$G120="",'Action Log'!$G120&gt;TODAY()),"PLANNED",IF('Action Log'!$H120="","",IF('Action Log'!$I120="",IF(TODAY()&gt;='Action Log'!$H120,"IN PROGRESS (LATE)","IN PROGRESS"),IF('Action Log'!$H120&lt;'Action Log'!$I120,"DONE (LATE)","DONE"))))</f>
        <v>DONE (LATE)</v>
      </c>
      <c r="D120" s="58" t="s">
        <v>12</v>
      </c>
      <c r="E120" s="59" t="s">
        <v>128</v>
      </c>
      <c r="F120" s="7" t="s">
        <v>7</v>
      </c>
      <c r="G120" s="61">
        <v>44449.0</v>
      </c>
      <c r="H120" s="61">
        <v>44450.0</v>
      </c>
      <c r="I120" s="61">
        <v>44452.0</v>
      </c>
      <c r="J120" s="27" t="s">
        <v>66</v>
      </c>
    </row>
    <row r="121" ht="15.75" customHeight="1">
      <c r="A121" s="55"/>
      <c r="B121" s="56" t="s">
        <v>105</v>
      </c>
      <c r="C121" s="57" t="str">
        <f>IF(OR('Action Log'!$G121="",'Action Log'!$G121&gt;TODAY()),"PLANNED",IF('Action Log'!$H121="","",IF('Action Log'!$I121="",IF(TODAY()&gt;='Action Log'!$H121,"IN PROGRESS (LATE)","IN PROGRESS"),IF('Action Log'!$H121&lt;'Action Log'!$I121,"DONE (LATE)","DONE"))))</f>
        <v>DONE (LATE)</v>
      </c>
      <c r="D121" s="7" t="s">
        <v>12</v>
      </c>
      <c r="E121" s="59" t="s">
        <v>128</v>
      </c>
      <c r="F121" s="7" t="s">
        <v>7</v>
      </c>
      <c r="G121" s="61">
        <v>44443.0</v>
      </c>
      <c r="H121" s="61">
        <v>44445.0</v>
      </c>
      <c r="I121" s="61">
        <v>44449.0</v>
      </c>
      <c r="J121" s="27" t="s">
        <v>66</v>
      </c>
    </row>
    <row r="122" ht="15.75" customHeight="1">
      <c r="A122" s="55"/>
      <c r="B122" s="56" t="s">
        <v>88</v>
      </c>
      <c r="C122" s="57" t="str">
        <f>IF(OR('Action Log'!$G122="",'Action Log'!$G122&gt;TODAY()),"PLANNED",IF('Action Log'!$H122="","",IF('Action Log'!$I122="",IF(TODAY()&gt;='Action Log'!$H122,"IN PROGRESS (LATE)","IN PROGRESS"),IF('Action Log'!$H122&lt;'Action Log'!$I122,"DONE (LATE)","DONE"))))</f>
        <v>DONE (LATE)</v>
      </c>
      <c r="D122" s="65" t="s">
        <v>168</v>
      </c>
      <c r="E122" s="59" t="s">
        <v>123</v>
      </c>
      <c r="F122" s="7" t="s">
        <v>126</v>
      </c>
      <c r="G122" s="61">
        <v>44431.0</v>
      </c>
      <c r="H122" s="61">
        <v>44435.0</v>
      </c>
      <c r="I122" s="61">
        <v>44450.0</v>
      </c>
      <c r="J122" s="27" t="s">
        <v>66</v>
      </c>
    </row>
    <row r="123" ht="15.75" customHeight="1">
      <c r="A123" s="55"/>
      <c r="B123" s="56" t="s">
        <v>74</v>
      </c>
      <c r="C123" s="57" t="str">
        <f>IF(OR('Action Log'!$G123="",'Action Log'!$G123&gt;TODAY()),"PLANNED",IF('Action Log'!$H123="","",IF('Action Log'!$I123="",IF(TODAY()&gt;='Action Log'!$H123,"IN PROGRESS (LATE)","IN PROGRESS"),IF('Action Log'!$H123&lt;'Action Log'!$I123,"DONE (LATE)","DONE"))))</f>
        <v>DONE</v>
      </c>
      <c r="D123" s="58" t="s">
        <v>18</v>
      </c>
      <c r="E123" s="59" t="s">
        <v>128</v>
      </c>
      <c r="F123" s="7" t="s">
        <v>7</v>
      </c>
      <c r="G123" s="61">
        <v>44511.0</v>
      </c>
      <c r="H123" s="61">
        <v>44514.0</v>
      </c>
      <c r="I123" s="61">
        <v>44514.0</v>
      </c>
      <c r="J123" s="27" t="s">
        <v>66</v>
      </c>
    </row>
    <row r="124" ht="15.75" customHeight="1">
      <c r="A124" s="55"/>
      <c r="B124" s="56" t="s">
        <v>71</v>
      </c>
      <c r="C124" s="57" t="str">
        <f>IF(OR('Action Log'!$G124="",'Action Log'!$G124&gt;TODAY()),"PLANNED",IF('Action Log'!$H124="","",IF('Action Log'!$I124="",IF(TODAY()&gt;='Action Log'!$H124,"IN PROGRESS (LATE)","IN PROGRESS"),IF('Action Log'!$H124&lt;'Action Log'!$I124,"DONE (LATE)","DONE"))))</f>
        <v>DONE (LATE)</v>
      </c>
      <c r="D124" s="7" t="s">
        <v>12</v>
      </c>
      <c r="E124" s="59" t="s">
        <v>128</v>
      </c>
      <c r="F124" s="7" t="s">
        <v>7</v>
      </c>
      <c r="G124" s="61">
        <v>44459.0</v>
      </c>
      <c r="H124" s="61">
        <v>44465.0</v>
      </c>
      <c r="I124" s="61">
        <v>44466.0</v>
      </c>
      <c r="J124" s="27" t="s">
        <v>66</v>
      </c>
    </row>
    <row r="125" ht="15.75" customHeight="1">
      <c r="A125" s="55"/>
      <c r="B125" s="56" t="s">
        <v>79</v>
      </c>
      <c r="C125" s="57" t="str">
        <f>IF(OR('Action Log'!$G125="",'Action Log'!$G125&gt;TODAY()),"PLANNED",IF('Action Log'!$H125="","",IF('Action Log'!$I125="",IF(TODAY()&gt;='Action Log'!$H125,"IN PROGRESS (LATE)","IN PROGRESS"),IF('Action Log'!$H125&lt;'Action Log'!$I125,"DONE (LATE)","DONE"))))</f>
        <v>PLANNED</v>
      </c>
      <c r="D125" s="58" t="s">
        <v>169</v>
      </c>
      <c r="E125" s="59" t="s">
        <v>128</v>
      </c>
      <c r="F125" s="58" t="s">
        <v>126</v>
      </c>
      <c r="G125" s="61"/>
      <c r="H125" s="61"/>
      <c r="I125" s="61"/>
      <c r="J125" s="27" t="s">
        <v>66</v>
      </c>
    </row>
    <row r="126" ht="15.75" customHeight="1">
      <c r="A126" s="55"/>
      <c r="B126" s="56" t="s">
        <v>67</v>
      </c>
      <c r="C126" s="57" t="str">
        <f>IF(OR('Action Log'!$G126="",'Action Log'!$G126&gt;TODAY()),"PLANNED",IF('Action Log'!$H126="","",IF('Action Log'!$I126="",IF(TODAY()&gt;='Action Log'!$H126,"IN PROGRESS (LATE)","IN PROGRESS"),IF('Action Log'!$H126&lt;'Action Log'!$I126,"DONE (LATE)","DONE"))))</f>
        <v>DONE</v>
      </c>
      <c r="D126" s="58" t="s">
        <v>16</v>
      </c>
      <c r="E126" s="59" t="s">
        <v>128</v>
      </c>
      <c r="F126" s="58" t="s">
        <v>170</v>
      </c>
      <c r="G126" s="61">
        <v>44542.0</v>
      </c>
      <c r="H126" s="61">
        <v>44542.0</v>
      </c>
      <c r="I126" s="61">
        <v>44542.0</v>
      </c>
      <c r="J126" s="27" t="s">
        <v>66</v>
      </c>
    </row>
    <row r="127" ht="15.75" customHeight="1">
      <c r="A127" s="55"/>
      <c r="B127" s="56" t="s">
        <v>74</v>
      </c>
      <c r="C127" s="57" t="str">
        <f>IF(OR('Action Log'!$G127="",'Action Log'!$G127&gt;TODAY()),"PLANNED",IF('Action Log'!$H127="","",IF('Action Log'!$I127="",IF(TODAY()&gt;='Action Log'!$H127,"IN PROGRESS (LATE)","IN PROGRESS"),IF('Action Log'!$H127&lt;'Action Log'!$I127,"DONE (LATE)","DONE"))))</f>
        <v>DONE (LATE)</v>
      </c>
      <c r="D127" s="7" t="s">
        <v>171</v>
      </c>
      <c r="E127" s="59" t="s">
        <v>128</v>
      </c>
      <c r="F127" s="7" t="s">
        <v>7</v>
      </c>
      <c r="G127" s="61">
        <v>44504.0</v>
      </c>
      <c r="H127" s="61">
        <v>44506.0</v>
      </c>
      <c r="I127" s="61">
        <v>44507.0</v>
      </c>
      <c r="J127" s="27" t="s">
        <v>66</v>
      </c>
    </row>
    <row r="128" ht="15.75" customHeight="1">
      <c r="A128" s="55"/>
      <c r="B128" s="56" t="s">
        <v>70</v>
      </c>
      <c r="C128" s="57" t="str">
        <f>IF(OR('Action Log'!$G128="",'Action Log'!$G128&gt;TODAY()),"PLANNED",IF('Action Log'!$H128="","",IF('Action Log'!$I128="",IF(TODAY()&gt;='Action Log'!$H128,"IN PROGRESS (LATE)","IN PROGRESS"),IF('Action Log'!$H128&lt;'Action Log'!$I128,"DONE (LATE)","DONE"))))</f>
        <v>IN PROGRESS (LATE)</v>
      </c>
      <c r="D128" s="58" t="s">
        <v>14</v>
      </c>
      <c r="E128" s="59" t="s">
        <v>128</v>
      </c>
      <c r="F128" s="58" t="s">
        <v>140</v>
      </c>
      <c r="G128" s="61">
        <v>44589.0</v>
      </c>
      <c r="H128" s="61">
        <v>44590.0</v>
      </c>
      <c r="I128" s="61"/>
      <c r="J128" s="27" t="s">
        <v>66</v>
      </c>
    </row>
    <row r="129" ht="15.75" customHeight="1">
      <c r="A129" s="55"/>
      <c r="B129" s="56" t="s">
        <v>70</v>
      </c>
      <c r="C129" s="57" t="str">
        <f>IF(OR('Action Log'!$G129="",'Action Log'!$G129&gt;TODAY()),"PLANNED",IF('Action Log'!$H129="","",IF('Action Log'!$I129="",IF(TODAY()&gt;='Action Log'!$H129,"IN PROGRESS (LATE)","IN PROGRESS"),IF('Action Log'!$H129&lt;'Action Log'!$I129,"DONE (LATE)","DONE"))))</f>
        <v>PLANNED</v>
      </c>
      <c r="D129" s="58" t="s">
        <v>16</v>
      </c>
      <c r="E129" s="59" t="s">
        <v>128</v>
      </c>
      <c r="F129" s="58" t="s">
        <v>17</v>
      </c>
      <c r="G129" s="61"/>
      <c r="H129" s="61"/>
      <c r="I129" s="61"/>
      <c r="J129" s="27" t="s">
        <v>66</v>
      </c>
    </row>
    <row r="130" ht="15.75" customHeight="1">
      <c r="A130" s="55"/>
      <c r="B130" s="56" t="s">
        <v>69</v>
      </c>
      <c r="C130" s="57" t="str">
        <f>IF(OR('Action Log'!$G130="",'Action Log'!$G130&gt;TODAY()),"PLANNED",IF('Action Log'!$H130="","",IF('Action Log'!$I130="",IF(TODAY()&gt;='Action Log'!$H130,"IN PROGRESS (LATE)","IN PROGRESS"),IF('Action Log'!$H130&lt;'Action Log'!$I130,"DONE (LATE)","DONE"))))</f>
        <v>IN PROGRESS (LATE)</v>
      </c>
      <c r="D130" s="58" t="s">
        <v>14</v>
      </c>
      <c r="E130" s="59" t="s">
        <v>128</v>
      </c>
      <c r="F130" s="58" t="s">
        <v>15</v>
      </c>
      <c r="G130" s="61">
        <v>44588.0</v>
      </c>
      <c r="H130" s="61">
        <v>44588.0</v>
      </c>
      <c r="I130" s="61"/>
      <c r="J130" s="27" t="s">
        <v>66</v>
      </c>
    </row>
    <row r="131" ht="15.75" customHeight="1">
      <c r="A131" s="55"/>
      <c r="B131" s="56" t="s">
        <v>69</v>
      </c>
      <c r="C131" s="57" t="str">
        <f>IF(OR('Action Log'!$G131="",'Action Log'!$G131&gt;TODAY()),"PLANNED",IF('Action Log'!$H131="","",IF('Action Log'!$I131="",IF(TODAY()&gt;='Action Log'!$H131,"IN PROGRESS (LATE)","IN PROGRESS"),IF('Action Log'!$H131&lt;'Action Log'!$I131,"DONE (LATE)","DONE"))))</f>
        <v>PLANNED</v>
      </c>
      <c r="D131" s="58" t="s">
        <v>16</v>
      </c>
      <c r="E131" s="59" t="s">
        <v>128</v>
      </c>
      <c r="F131" s="58" t="s">
        <v>17</v>
      </c>
      <c r="G131" s="61"/>
      <c r="H131" s="61"/>
      <c r="I131" s="61"/>
      <c r="J131" s="27" t="s">
        <v>66</v>
      </c>
    </row>
    <row r="132" ht="15.75" customHeight="1">
      <c r="A132" s="55"/>
      <c r="B132" s="56" t="s">
        <v>69</v>
      </c>
      <c r="C132" s="57" t="str">
        <f>IF(OR('Action Log'!$G132="",'Action Log'!$G132&gt;TODAY()),"PLANNED",IF('Action Log'!$H132="","",IF('Action Log'!$I132="",IF(TODAY()&gt;='Action Log'!$H132,"IN PROGRESS (LATE)","IN PROGRESS"),IF('Action Log'!$H132&lt;'Action Log'!$I132,"DONE (LATE)","DONE"))))</f>
        <v>PLANNED</v>
      </c>
      <c r="D132" s="58" t="s">
        <v>18</v>
      </c>
      <c r="E132" s="59" t="s">
        <v>128</v>
      </c>
      <c r="F132" s="58" t="s">
        <v>19</v>
      </c>
      <c r="G132" s="61"/>
      <c r="H132" s="61"/>
      <c r="I132" s="61"/>
      <c r="J132" s="27" t="s">
        <v>66</v>
      </c>
    </row>
    <row r="133" ht="15.75" customHeight="1">
      <c r="A133" s="55"/>
      <c r="B133" s="67" t="s">
        <v>69</v>
      </c>
      <c r="C133" s="57" t="str">
        <f>IF(OR('Action Log'!$G133="",'Action Log'!$G133&gt;TODAY()),"PLANNED",IF('Action Log'!$H133="","",IF('Action Log'!$I133="",IF(TODAY()&gt;='Action Log'!$H133,"IN PROGRESS (LATE)","IN PROGRESS"),IF('Action Log'!$H133&lt;'Action Log'!$I133,"DONE (LATE)","DONE"))))</f>
        <v>PLANNED</v>
      </c>
      <c r="D133" s="68" t="s">
        <v>27</v>
      </c>
      <c r="E133" s="69" t="s">
        <v>123</v>
      </c>
      <c r="F133" s="70" t="s">
        <v>28</v>
      </c>
      <c r="G133" s="71"/>
      <c r="H133" s="71"/>
      <c r="I133" s="71"/>
      <c r="J133" s="27" t="s">
        <v>66</v>
      </c>
    </row>
    <row r="134" ht="15.75" customHeight="1">
      <c r="A134" s="55"/>
      <c r="B134" s="72"/>
      <c r="D134" s="72"/>
      <c r="E134" s="72"/>
      <c r="J134" s="27" t="s">
        <v>66</v>
      </c>
    </row>
    <row r="135" ht="15.75" customHeight="1">
      <c r="A135" s="55"/>
      <c r="B135" s="72"/>
      <c r="D135" s="72"/>
      <c r="E135" s="72"/>
      <c r="J135" s="27" t="s">
        <v>66</v>
      </c>
    </row>
    <row r="136" ht="15.75" customHeight="1">
      <c r="A136" s="55"/>
      <c r="B136" s="72"/>
      <c r="D136" s="72"/>
      <c r="E136" s="72"/>
      <c r="J136" s="27" t="s">
        <v>66</v>
      </c>
    </row>
    <row r="137" ht="15.75" customHeight="1">
      <c r="A137" s="55"/>
      <c r="B137" s="72"/>
      <c r="D137" s="72"/>
      <c r="E137" s="72"/>
      <c r="J137" s="27" t="s">
        <v>66</v>
      </c>
    </row>
    <row r="138" ht="15.75" customHeight="1">
      <c r="A138" s="55"/>
      <c r="B138" s="72"/>
      <c r="D138" s="72"/>
      <c r="E138" s="72"/>
      <c r="J138" s="27" t="s">
        <v>66</v>
      </c>
    </row>
    <row r="139" ht="15.75" customHeight="1">
      <c r="A139" s="55"/>
      <c r="B139" s="72"/>
      <c r="D139" s="72"/>
      <c r="E139" s="72"/>
      <c r="J139" s="27" t="s">
        <v>66</v>
      </c>
    </row>
    <row r="140" ht="15.75" customHeight="1">
      <c r="A140" s="55"/>
      <c r="B140" s="72"/>
      <c r="D140" s="72"/>
      <c r="E140" s="72"/>
      <c r="J140" s="27" t="s">
        <v>66</v>
      </c>
    </row>
    <row r="141" ht="15.75" customHeight="1">
      <c r="A141" s="55"/>
      <c r="B141" s="72"/>
      <c r="D141" s="72"/>
      <c r="E141" s="72"/>
      <c r="J141" s="27" t="s">
        <v>66</v>
      </c>
    </row>
    <row r="142" ht="15.75" customHeight="1">
      <c r="A142" s="55"/>
      <c r="B142" s="72"/>
      <c r="D142" s="72"/>
      <c r="E142" s="72"/>
      <c r="J142" s="27" t="s">
        <v>66</v>
      </c>
    </row>
    <row r="143" ht="15.75" customHeight="1">
      <c r="A143" s="55"/>
      <c r="B143" s="72"/>
      <c r="D143" s="72"/>
      <c r="E143" s="72"/>
      <c r="J143" s="27" t="s">
        <v>66</v>
      </c>
    </row>
    <row r="144" ht="15.75" customHeight="1">
      <c r="A144" s="55"/>
      <c r="B144" s="72"/>
      <c r="D144" s="72"/>
      <c r="E144" s="72"/>
      <c r="J144" s="27" t="s">
        <v>66</v>
      </c>
    </row>
    <row r="145" ht="15.75" customHeight="1">
      <c r="A145" s="55"/>
      <c r="B145" s="72"/>
      <c r="D145" s="72"/>
      <c r="E145" s="72"/>
      <c r="J145" s="27" t="s">
        <v>66</v>
      </c>
    </row>
    <row r="146" ht="15.75" customHeight="1">
      <c r="A146" s="55"/>
      <c r="B146" s="72"/>
      <c r="D146" s="72"/>
      <c r="E146" s="72"/>
      <c r="J146" s="27" t="s">
        <v>66</v>
      </c>
    </row>
    <row r="147" ht="15.75" customHeight="1">
      <c r="A147" s="55"/>
      <c r="B147" s="72"/>
      <c r="D147" s="72"/>
      <c r="E147" s="72"/>
      <c r="J147" s="27" t="s">
        <v>66</v>
      </c>
    </row>
    <row r="148" ht="15.75" customHeight="1">
      <c r="A148" s="55"/>
      <c r="B148" s="72"/>
      <c r="D148" s="72"/>
      <c r="E148" s="72"/>
      <c r="J148" s="27" t="s">
        <v>66</v>
      </c>
    </row>
    <row r="149" ht="15.75" customHeight="1">
      <c r="A149" s="55"/>
      <c r="B149" s="72"/>
      <c r="D149" s="72"/>
      <c r="E149" s="72"/>
      <c r="J149" s="27" t="s">
        <v>66</v>
      </c>
    </row>
    <row r="150" ht="15.75" customHeight="1">
      <c r="A150" s="55"/>
      <c r="B150" s="72"/>
      <c r="D150" s="72"/>
      <c r="E150" s="72"/>
      <c r="J150" s="27" t="s">
        <v>66</v>
      </c>
    </row>
    <row r="151" ht="15.75" customHeight="1">
      <c r="A151" s="55"/>
      <c r="B151" s="72"/>
      <c r="D151" s="72"/>
      <c r="E151" s="72"/>
      <c r="J151" s="27" t="s">
        <v>66</v>
      </c>
    </row>
    <row r="152" ht="15.75" customHeight="1">
      <c r="A152" s="55"/>
      <c r="B152" s="72"/>
      <c r="D152" s="72"/>
      <c r="E152" s="72"/>
      <c r="J152" s="27" t="s">
        <v>66</v>
      </c>
    </row>
    <row r="153" ht="15.75" customHeight="1">
      <c r="A153" s="55"/>
      <c r="B153" s="72"/>
      <c r="D153" s="72"/>
      <c r="E153" s="72"/>
      <c r="J153" s="27" t="s">
        <v>66</v>
      </c>
    </row>
    <row r="154" ht="15.75" customHeight="1">
      <c r="A154" s="55"/>
      <c r="B154" s="72"/>
      <c r="D154" s="72"/>
      <c r="E154" s="72"/>
      <c r="J154" s="27" t="s">
        <v>66</v>
      </c>
    </row>
    <row r="155" ht="15.75" customHeight="1">
      <c r="A155" s="55"/>
      <c r="B155" s="72"/>
      <c r="D155" s="72"/>
      <c r="E155" s="72"/>
      <c r="J155" s="27" t="s">
        <v>66</v>
      </c>
    </row>
    <row r="156" ht="15.75" customHeight="1">
      <c r="A156" s="55"/>
      <c r="B156" s="72"/>
      <c r="D156" s="72"/>
      <c r="E156" s="72"/>
      <c r="J156" s="27" t="s">
        <v>66</v>
      </c>
    </row>
    <row r="157" ht="15.75" customHeight="1">
      <c r="A157" s="55"/>
      <c r="B157" s="72"/>
      <c r="D157" s="72"/>
      <c r="E157" s="72"/>
      <c r="J157" s="27" t="s">
        <v>66</v>
      </c>
    </row>
    <row r="158" ht="15.75" customHeight="1">
      <c r="A158" s="55"/>
      <c r="B158" s="72"/>
      <c r="D158" s="72"/>
      <c r="E158" s="72"/>
      <c r="J158" s="27" t="s">
        <v>66</v>
      </c>
    </row>
    <row r="159" ht="15.75" customHeight="1">
      <c r="A159" s="55"/>
      <c r="B159" s="72"/>
      <c r="D159" s="72"/>
      <c r="E159" s="72"/>
      <c r="J159" s="27" t="s">
        <v>66</v>
      </c>
    </row>
    <row r="160" ht="15.75" customHeight="1">
      <c r="A160" s="55"/>
      <c r="B160" s="72"/>
      <c r="D160" s="72"/>
      <c r="E160" s="72"/>
      <c r="J160" s="27" t="s">
        <v>66</v>
      </c>
    </row>
    <row r="161" ht="15.75" customHeight="1">
      <c r="A161" s="55"/>
      <c r="B161" s="72"/>
      <c r="D161" s="72"/>
      <c r="E161" s="72"/>
      <c r="J161" s="27" t="s">
        <v>66</v>
      </c>
    </row>
    <row r="162" ht="15.75" customHeight="1">
      <c r="A162" s="55"/>
      <c r="B162" s="72"/>
      <c r="D162" s="72"/>
      <c r="E162" s="72"/>
      <c r="J162" s="27" t="s">
        <v>66</v>
      </c>
    </row>
    <row r="163" ht="15.75" customHeight="1">
      <c r="A163" s="55"/>
      <c r="B163" s="72"/>
      <c r="D163" s="72"/>
      <c r="E163" s="72"/>
      <c r="J163" s="27" t="s">
        <v>66</v>
      </c>
    </row>
    <row r="164" ht="15.75" customHeight="1">
      <c r="A164" s="55"/>
      <c r="B164" s="72"/>
      <c r="D164" s="72"/>
      <c r="E164" s="72"/>
      <c r="J164" s="27" t="s">
        <v>66</v>
      </c>
    </row>
    <row r="165" ht="15.75" customHeight="1">
      <c r="A165" s="55"/>
      <c r="B165" s="72"/>
      <c r="D165" s="72"/>
      <c r="E165" s="72"/>
      <c r="J165" s="27" t="s">
        <v>66</v>
      </c>
    </row>
    <row r="166" ht="15.75" customHeight="1">
      <c r="A166" s="55"/>
      <c r="B166" s="72"/>
      <c r="D166" s="72"/>
      <c r="E166" s="72"/>
      <c r="J166" s="27" t="s">
        <v>66</v>
      </c>
    </row>
    <row r="167" ht="15.75" customHeight="1">
      <c r="A167" s="55"/>
      <c r="B167" s="72"/>
      <c r="D167" s="72"/>
      <c r="E167" s="72"/>
      <c r="J167" s="27" t="s">
        <v>66</v>
      </c>
    </row>
    <row r="168" ht="15.75" customHeight="1">
      <c r="A168" s="55"/>
      <c r="B168" s="72"/>
      <c r="D168" s="72"/>
      <c r="E168" s="72"/>
      <c r="J168" s="27" t="s">
        <v>66</v>
      </c>
    </row>
    <row r="169" ht="15.75" customHeight="1">
      <c r="A169" s="55"/>
      <c r="B169" s="72"/>
      <c r="D169" s="72"/>
      <c r="E169" s="72"/>
      <c r="J169" s="27" t="s">
        <v>66</v>
      </c>
    </row>
    <row r="170" ht="15.75" customHeight="1">
      <c r="A170" s="55"/>
      <c r="B170" s="72"/>
      <c r="D170" s="72"/>
      <c r="E170" s="72"/>
      <c r="J170" s="27" t="s">
        <v>66</v>
      </c>
    </row>
    <row r="171" ht="15.75" customHeight="1">
      <c r="A171" s="55"/>
      <c r="B171" s="72"/>
      <c r="D171" s="72"/>
      <c r="E171" s="72"/>
      <c r="J171" s="27" t="s">
        <v>66</v>
      </c>
    </row>
    <row r="172" ht="15.75" customHeight="1">
      <c r="A172" s="55"/>
      <c r="B172" s="72"/>
      <c r="D172" s="72"/>
      <c r="E172" s="72"/>
      <c r="J172" s="27" t="s">
        <v>66</v>
      </c>
    </row>
    <row r="173" ht="15.75" customHeight="1">
      <c r="A173" s="55"/>
      <c r="B173" s="72"/>
      <c r="D173" s="72"/>
      <c r="E173" s="72"/>
      <c r="J173" s="27" t="s">
        <v>66</v>
      </c>
    </row>
    <row r="174" ht="15.75" customHeight="1">
      <c r="A174" s="55"/>
      <c r="B174" s="72"/>
      <c r="D174" s="72"/>
      <c r="E174" s="72"/>
      <c r="J174" s="27" t="s">
        <v>66</v>
      </c>
    </row>
    <row r="175" ht="15.75" customHeight="1">
      <c r="A175" s="55"/>
      <c r="B175" s="72"/>
      <c r="D175" s="72"/>
      <c r="E175" s="72"/>
      <c r="J175" s="27" t="s">
        <v>66</v>
      </c>
    </row>
    <row r="176" ht="15.75" customHeight="1">
      <c r="A176" s="55"/>
      <c r="B176" s="72"/>
      <c r="D176" s="72"/>
      <c r="E176" s="72"/>
      <c r="J176" s="27" t="s">
        <v>66</v>
      </c>
    </row>
    <row r="177" ht="15.75" customHeight="1">
      <c r="A177" s="55"/>
      <c r="B177" s="72"/>
      <c r="D177" s="72"/>
      <c r="E177" s="72"/>
      <c r="J177" s="27" t="s">
        <v>66</v>
      </c>
    </row>
    <row r="178" ht="15.75" customHeight="1">
      <c r="A178" s="55"/>
      <c r="B178" s="72"/>
      <c r="D178" s="72"/>
      <c r="E178" s="72"/>
      <c r="J178" s="27" t="s">
        <v>66</v>
      </c>
    </row>
    <row r="179" ht="15.75" customHeight="1">
      <c r="A179" s="55"/>
      <c r="B179" s="72"/>
      <c r="D179" s="72"/>
      <c r="E179" s="72"/>
      <c r="J179" s="27" t="s">
        <v>66</v>
      </c>
    </row>
    <row r="180" ht="15.75" customHeight="1">
      <c r="A180" s="55"/>
      <c r="B180" s="72"/>
      <c r="D180" s="72"/>
      <c r="E180" s="72"/>
      <c r="J180" s="27" t="s">
        <v>66</v>
      </c>
    </row>
    <row r="181" ht="15.75" customHeight="1">
      <c r="A181" s="55"/>
      <c r="B181" s="72"/>
      <c r="D181" s="72"/>
      <c r="E181" s="72"/>
      <c r="J181" s="27" t="s">
        <v>66</v>
      </c>
    </row>
    <row r="182" ht="15.75" customHeight="1">
      <c r="A182" s="55"/>
      <c r="B182" s="72"/>
      <c r="D182" s="72"/>
      <c r="E182" s="72"/>
      <c r="J182" s="27" t="s">
        <v>66</v>
      </c>
    </row>
    <row r="183" ht="15.75" customHeight="1">
      <c r="A183" s="55"/>
      <c r="B183" s="72"/>
      <c r="D183" s="72"/>
      <c r="E183" s="72"/>
      <c r="J183" s="27" t="s">
        <v>66</v>
      </c>
    </row>
    <row r="184" ht="15.75" customHeight="1">
      <c r="A184" s="55"/>
      <c r="B184" s="72"/>
      <c r="D184" s="72"/>
      <c r="E184" s="72"/>
      <c r="J184" s="27" t="s">
        <v>66</v>
      </c>
    </row>
    <row r="185" ht="15.75" customHeight="1">
      <c r="A185" s="55"/>
      <c r="B185" s="72"/>
      <c r="D185" s="72"/>
      <c r="E185" s="72"/>
      <c r="J185" s="27" t="s">
        <v>66</v>
      </c>
    </row>
    <row r="186" ht="15.75" customHeight="1">
      <c r="A186" s="55"/>
      <c r="B186" s="72"/>
      <c r="D186" s="72"/>
      <c r="E186" s="72"/>
      <c r="J186" s="27" t="s">
        <v>66</v>
      </c>
    </row>
    <row r="187" ht="15.75" customHeight="1">
      <c r="A187" s="55"/>
      <c r="B187" s="72"/>
      <c r="D187" s="72"/>
      <c r="E187" s="72"/>
      <c r="J187" s="27" t="s">
        <v>66</v>
      </c>
    </row>
    <row r="188" ht="15.75" customHeight="1">
      <c r="A188" s="55"/>
      <c r="B188" s="72"/>
      <c r="D188" s="72"/>
      <c r="E188" s="72"/>
      <c r="J188" s="27" t="s">
        <v>66</v>
      </c>
    </row>
    <row r="189" ht="15.75" customHeight="1">
      <c r="A189" s="55"/>
      <c r="B189" s="72"/>
      <c r="D189" s="72"/>
      <c r="E189" s="72"/>
      <c r="J189" s="27" t="s">
        <v>66</v>
      </c>
    </row>
    <row r="190" ht="15.75" customHeight="1">
      <c r="A190" s="55"/>
      <c r="B190" s="72"/>
      <c r="D190" s="72"/>
      <c r="E190" s="72"/>
      <c r="J190" s="27" t="s">
        <v>66</v>
      </c>
    </row>
    <row r="191" ht="15.75" customHeight="1">
      <c r="A191" s="55"/>
      <c r="B191" s="72"/>
      <c r="D191" s="72"/>
      <c r="E191" s="72"/>
      <c r="J191" s="27" t="s">
        <v>66</v>
      </c>
    </row>
    <row r="192" ht="15.75" customHeight="1">
      <c r="A192" s="55"/>
      <c r="B192" s="72"/>
      <c r="D192" s="72"/>
      <c r="E192" s="72"/>
      <c r="J192" s="27" t="s">
        <v>66</v>
      </c>
    </row>
    <row r="193" ht="15.75" customHeight="1">
      <c r="A193" s="55"/>
      <c r="B193" s="72"/>
      <c r="D193" s="72"/>
      <c r="E193" s="72"/>
      <c r="J193" s="27" t="s">
        <v>66</v>
      </c>
    </row>
    <row r="194" ht="15.75" customHeight="1">
      <c r="A194" s="55"/>
      <c r="B194" s="72"/>
      <c r="D194" s="72"/>
      <c r="E194" s="72"/>
      <c r="J194" s="27" t="s">
        <v>66</v>
      </c>
    </row>
    <row r="195" ht="15.75" customHeight="1">
      <c r="A195" s="55"/>
      <c r="B195" s="72"/>
      <c r="D195" s="72"/>
      <c r="E195" s="72"/>
      <c r="J195" s="27" t="s">
        <v>66</v>
      </c>
    </row>
    <row r="196" ht="15.75" customHeight="1">
      <c r="A196" s="55"/>
      <c r="B196" s="72"/>
      <c r="D196" s="72"/>
      <c r="E196" s="72"/>
      <c r="J196" s="27" t="s">
        <v>66</v>
      </c>
    </row>
    <row r="197" ht="15.75" customHeight="1">
      <c r="A197" s="55"/>
      <c r="B197" s="72"/>
      <c r="D197" s="72"/>
      <c r="E197" s="72"/>
      <c r="J197" s="27" t="s">
        <v>66</v>
      </c>
    </row>
    <row r="198" ht="15.75" customHeight="1">
      <c r="A198" s="55"/>
      <c r="B198" s="72"/>
      <c r="D198" s="72"/>
      <c r="E198" s="72"/>
      <c r="J198" s="27" t="s">
        <v>66</v>
      </c>
    </row>
    <row r="199" ht="15.75" customHeight="1">
      <c r="A199" s="55"/>
      <c r="B199" s="72"/>
      <c r="D199" s="72"/>
      <c r="E199" s="72"/>
      <c r="J199" s="27" t="s">
        <v>66</v>
      </c>
    </row>
    <row r="200" ht="15.75" customHeight="1">
      <c r="A200" s="55"/>
      <c r="B200" s="72"/>
      <c r="D200" s="72"/>
      <c r="E200" s="72"/>
      <c r="J200" s="27" t="s">
        <v>66</v>
      </c>
    </row>
    <row r="201" ht="15.75" customHeight="1">
      <c r="A201" s="55"/>
      <c r="B201" s="72"/>
      <c r="D201" s="72"/>
      <c r="E201" s="72"/>
      <c r="J201" s="27" t="s">
        <v>66</v>
      </c>
    </row>
    <row r="202" ht="15.75" customHeight="1">
      <c r="A202" s="55"/>
      <c r="B202" s="72"/>
      <c r="D202" s="72"/>
      <c r="E202" s="72"/>
      <c r="J202" s="27" t="s">
        <v>66</v>
      </c>
    </row>
    <row r="203" ht="15.75" customHeight="1">
      <c r="A203" s="55"/>
      <c r="B203" s="72"/>
      <c r="D203" s="72"/>
      <c r="E203" s="72"/>
      <c r="J203" s="27" t="s">
        <v>66</v>
      </c>
    </row>
    <row r="204" ht="15.75" customHeight="1">
      <c r="A204" s="55"/>
      <c r="B204" s="72"/>
      <c r="D204" s="72"/>
      <c r="E204" s="72"/>
      <c r="J204" s="27" t="s">
        <v>66</v>
      </c>
    </row>
    <row r="205" ht="15.75" customHeight="1">
      <c r="A205" s="55"/>
      <c r="B205" s="72"/>
      <c r="D205" s="72"/>
      <c r="E205" s="72"/>
      <c r="J205" s="27" t="s">
        <v>66</v>
      </c>
    </row>
    <row r="206" ht="15.75" customHeight="1">
      <c r="A206" s="55"/>
      <c r="B206" s="72"/>
      <c r="D206" s="72"/>
      <c r="E206" s="72"/>
      <c r="J206" s="27" t="s">
        <v>66</v>
      </c>
    </row>
    <row r="207" ht="15.75" customHeight="1">
      <c r="A207" s="55"/>
      <c r="B207" s="72"/>
      <c r="D207" s="72"/>
      <c r="E207" s="72"/>
      <c r="J207" s="27" t="s">
        <v>66</v>
      </c>
    </row>
    <row r="208" ht="15.75" customHeight="1">
      <c r="A208" s="55"/>
      <c r="B208" s="72"/>
      <c r="D208" s="72"/>
      <c r="E208" s="72"/>
      <c r="J208" s="27" t="s">
        <v>66</v>
      </c>
    </row>
    <row r="209" ht="15.75" customHeight="1">
      <c r="A209" s="55"/>
      <c r="B209" s="72"/>
      <c r="D209" s="72"/>
      <c r="E209" s="72"/>
      <c r="J209" s="27" t="s">
        <v>66</v>
      </c>
    </row>
    <row r="210" ht="15.75" customHeight="1">
      <c r="A210" s="55"/>
      <c r="B210" s="72"/>
      <c r="D210" s="72"/>
      <c r="E210" s="72"/>
      <c r="J210" s="27" t="s">
        <v>66</v>
      </c>
    </row>
    <row r="211" ht="15.75" customHeight="1">
      <c r="A211" s="55"/>
      <c r="B211" s="72"/>
      <c r="D211" s="72"/>
      <c r="E211" s="72"/>
      <c r="J211" s="27" t="s">
        <v>66</v>
      </c>
    </row>
    <row r="212" ht="15.75" customHeight="1">
      <c r="A212" s="55"/>
      <c r="B212" s="72"/>
      <c r="D212" s="72"/>
      <c r="E212" s="72"/>
      <c r="J212" s="27" t="s">
        <v>66</v>
      </c>
    </row>
    <row r="213" ht="15.75" customHeight="1">
      <c r="A213" s="55"/>
      <c r="B213" s="72"/>
      <c r="D213" s="72"/>
      <c r="E213" s="72"/>
      <c r="J213" s="27" t="s">
        <v>66</v>
      </c>
    </row>
    <row r="214" ht="15.75" customHeight="1">
      <c r="A214" s="55"/>
      <c r="B214" s="72"/>
      <c r="D214" s="72"/>
      <c r="E214" s="72"/>
      <c r="J214" s="27" t="s">
        <v>66</v>
      </c>
    </row>
    <row r="215" ht="15.75" customHeight="1">
      <c r="A215" s="55"/>
      <c r="B215" s="72"/>
      <c r="D215" s="72"/>
      <c r="E215" s="72"/>
      <c r="J215" s="27" t="s">
        <v>66</v>
      </c>
    </row>
    <row r="216" ht="15.75" customHeight="1">
      <c r="A216" s="55"/>
      <c r="B216" s="72"/>
      <c r="D216" s="72"/>
      <c r="E216" s="72"/>
      <c r="J216" s="27" t="s">
        <v>66</v>
      </c>
    </row>
    <row r="217" ht="15.75" customHeight="1">
      <c r="A217" s="55"/>
      <c r="B217" s="72"/>
      <c r="D217" s="72"/>
      <c r="E217" s="72"/>
      <c r="J217" s="27" t="s">
        <v>66</v>
      </c>
    </row>
    <row r="218" ht="15.75" customHeight="1">
      <c r="A218" s="55"/>
      <c r="B218" s="72"/>
      <c r="D218" s="72"/>
      <c r="E218" s="72"/>
      <c r="J218" s="27" t="s">
        <v>66</v>
      </c>
    </row>
    <row r="219" ht="15.75" customHeight="1">
      <c r="A219" s="55"/>
      <c r="B219" s="72"/>
      <c r="D219" s="72"/>
      <c r="E219" s="72"/>
      <c r="J219" s="27" t="s">
        <v>66</v>
      </c>
    </row>
    <row r="220" ht="15.75" customHeight="1">
      <c r="A220" s="55"/>
      <c r="B220" s="72"/>
      <c r="D220" s="72"/>
      <c r="E220" s="72"/>
      <c r="J220" s="27" t="s">
        <v>66</v>
      </c>
    </row>
    <row r="221" ht="15.75" customHeight="1">
      <c r="A221" s="55"/>
      <c r="B221" s="72"/>
      <c r="D221" s="72"/>
      <c r="E221" s="72"/>
      <c r="J221" s="27" t="s">
        <v>66</v>
      </c>
    </row>
    <row r="222" ht="15.75" customHeight="1">
      <c r="A222" s="55"/>
      <c r="B222" s="72"/>
      <c r="D222" s="72"/>
      <c r="E222" s="72"/>
      <c r="J222" s="27" t="s">
        <v>66</v>
      </c>
    </row>
    <row r="223" ht="15.75" customHeight="1">
      <c r="A223" s="55"/>
      <c r="B223" s="72"/>
      <c r="D223" s="72"/>
      <c r="E223" s="72"/>
      <c r="J223" s="27" t="s">
        <v>66</v>
      </c>
    </row>
    <row r="224" ht="15.75" customHeight="1">
      <c r="A224" s="55"/>
      <c r="B224" s="72"/>
      <c r="D224" s="72"/>
      <c r="E224" s="72"/>
      <c r="J224" s="27" t="s">
        <v>66</v>
      </c>
    </row>
    <row r="225" ht="15.75" customHeight="1">
      <c r="A225" s="55"/>
      <c r="B225" s="72"/>
      <c r="D225" s="72"/>
      <c r="E225" s="72"/>
      <c r="J225" s="27" t="s">
        <v>66</v>
      </c>
    </row>
    <row r="226" ht="15.75" customHeight="1">
      <c r="A226" s="55"/>
      <c r="B226" s="72"/>
      <c r="D226" s="72"/>
      <c r="E226" s="72"/>
      <c r="J226" s="27" t="s">
        <v>66</v>
      </c>
    </row>
    <row r="227" ht="15.75" customHeight="1">
      <c r="A227" s="55"/>
      <c r="B227" s="72"/>
      <c r="D227" s="72"/>
      <c r="E227" s="72"/>
      <c r="J227" s="27" t="s">
        <v>66</v>
      </c>
    </row>
    <row r="228" ht="15.75" customHeight="1">
      <c r="A228" s="55"/>
      <c r="B228" s="72"/>
      <c r="D228" s="72"/>
      <c r="E228" s="72"/>
      <c r="J228" s="27" t="s">
        <v>66</v>
      </c>
    </row>
    <row r="229" ht="15.75" customHeight="1">
      <c r="A229" s="55"/>
      <c r="B229" s="72"/>
      <c r="D229" s="72"/>
      <c r="E229" s="72"/>
      <c r="J229" s="27" t="s">
        <v>66</v>
      </c>
    </row>
    <row r="230" ht="15.75" customHeight="1">
      <c r="A230" s="55"/>
      <c r="B230" s="72"/>
      <c r="D230" s="72"/>
      <c r="E230" s="72"/>
      <c r="J230" s="27" t="s">
        <v>66</v>
      </c>
    </row>
    <row r="231" ht="15.75" customHeight="1">
      <c r="A231" s="55"/>
      <c r="B231" s="72"/>
      <c r="D231" s="72"/>
      <c r="E231" s="72"/>
      <c r="J231" s="27" t="s">
        <v>66</v>
      </c>
    </row>
    <row r="232" ht="15.75" customHeight="1">
      <c r="A232" s="55"/>
      <c r="B232" s="72"/>
      <c r="D232" s="72"/>
      <c r="E232" s="72"/>
      <c r="J232" s="27" t="s">
        <v>66</v>
      </c>
    </row>
    <row r="233" ht="15.75" customHeight="1">
      <c r="A233" s="55"/>
      <c r="B233" s="72"/>
      <c r="D233" s="72"/>
      <c r="E233" s="72"/>
      <c r="J233" s="27" t="s">
        <v>66</v>
      </c>
    </row>
    <row r="234" ht="15.75" customHeight="1">
      <c r="A234" s="55"/>
      <c r="B234" s="72"/>
      <c r="D234" s="72"/>
      <c r="E234" s="72"/>
      <c r="J234" s="27" t="s">
        <v>66</v>
      </c>
    </row>
    <row r="235" ht="15.75" customHeight="1">
      <c r="A235" s="55"/>
      <c r="B235" s="72"/>
      <c r="D235" s="72"/>
      <c r="E235" s="72"/>
      <c r="J235" s="27" t="s">
        <v>66</v>
      </c>
    </row>
    <row r="236" ht="15.75" customHeight="1">
      <c r="A236" s="55"/>
      <c r="B236" s="72"/>
      <c r="D236" s="72"/>
      <c r="E236" s="72"/>
      <c r="J236" s="27" t="s">
        <v>66</v>
      </c>
    </row>
    <row r="237" ht="15.75" customHeight="1">
      <c r="A237" s="55"/>
      <c r="B237" s="72"/>
      <c r="D237" s="72"/>
      <c r="E237" s="72"/>
      <c r="J237" s="27" t="s">
        <v>66</v>
      </c>
    </row>
    <row r="238" ht="15.75" customHeight="1">
      <c r="A238" s="55"/>
      <c r="B238" s="72"/>
      <c r="D238" s="72"/>
      <c r="E238" s="72"/>
      <c r="J238" s="27" t="s">
        <v>66</v>
      </c>
    </row>
    <row r="239" ht="15.75" customHeight="1">
      <c r="A239" s="55"/>
      <c r="B239" s="72"/>
      <c r="D239" s="72"/>
      <c r="E239" s="72"/>
      <c r="J239" s="27" t="s">
        <v>66</v>
      </c>
    </row>
    <row r="240" ht="15.75" customHeight="1">
      <c r="A240" s="55"/>
      <c r="B240" s="72"/>
      <c r="D240" s="72"/>
      <c r="E240" s="72"/>
      <c r="J240" s="27" t="s">
        <v>66</v>
      </c>
    </row>
    <row r="241" ht="15.75" customHeight="1">
      <c r="A241" s="55"/>
      <c r="B241" s="72"/>
      <c r="D241" s="72"/>
      <c r="E241" s="72"/>
      <c r="J241" s="27" t="s">
        <v>66</v>
      </c>
    </row>
    <row r="242" ht="15.75" customHeight="1">
      <c r="A242" s="55"/>
      <c r="B242" s="72"/>
      <c r="D242" s="72"/>
      <c r="E242" s="72"/>
      <c r="J242" s="27" t="s">
        <v>66</v>
      </c>
    </row>
    <row r="243" ht="15.75" customHeight="1">
      <c r="A243" s="55"/>
      <c r="B243" s="72"/>
      <c r="D243" s="72"/>
      <c r="E243" s="72"/>
      <c r="J243" s="27" t="s">
        <v>66</v>
      </c>
    </row>
    <row r="244" ht="15.75" customHeight="1">
      <c r="A244" s="55"/>
      <c r="B244" s="72"/>
      <c r="D244" s="72"/>
      <c r="E244" s="72"/>
      <c r="J244" s="27" t="s">
        <v>66</v>
      </c>
    </row>
    <row r="245" ht="15.75" customHeight="1">
      <c r="A245" s="55"/>
      <c r="B245" s="72"/>
      <c r="D245" s="72"/>
      <c r="E245" s="72"/>
      <c r="J245" s="27" t="s">
        <v>66</v>
      </c>
    </row>
    <row r="246" ht="15.75" customHeight="1">
      <c r="A246" s="55"/>
      <c r="B246" s="72"/>
      <c r="D246" s="72"/>
      <c r="E246" s="72"/>
      <c r="J246" s="27" t="s">
        <v>66</v>
      </c>
    </row>
    <row r="247" ht="15.75" customHeight="1">
      <c r="A247" s="55"/>
      <c r="B247" s="72"/>
      <c r="D247" s="72"/>
      <c r="E247" s="72"/>
      <c r="J247" s="27" t="s">
        <v>66</v>
      </c>
    </row>
    <row r="248" ht="15.75" customHeight="1">
      <c r="A248" s="55"/>
      <c r="B248" s="72"/>
      <c r="D248" s="72"/>
      <c r="E248" s="72"/>
      <c r="J248" s="27" t="s">
        <v>66</v>
      </c>
    </row>
    <row r="249" ht="15.75" customHeight="1">
      <c r="A249" s="55"/>
      <c r="B249" s="72"/>
      <c r="D249" s="72"/>
      <c r="E249" s="72"/>
      <c r="J249" s="27" t="s">
        <v>66</v>
      </c>
    </row>
    <row r="250" ht="15.75" customHeight="1">
      <c r="A250" s="55"/>
      <c r="B250" s="72"/>
      <c r="D250" s="72"/>
      <c r="E250" s="72"/>
      <c r="J250" s="27" t="s">
        <v>66</v>
      </c>
    </row>
    <row r="251" ht="15.75" customHeight="1">
      <c r="A251" s="55"/>
      <c r="B251" s="72"/>
      <c r="D251" s="72"/>
      <c r="E251" s="72"/>
      <c r="J251" s="27" t="s">
        <v>66</v>
      </c>
    </row>
    <row r="252" ht="15.75" customHeight="1">
      <c r="A252" s="55"/>
      <c r="B252" s="72"/>
      <c r="D252" s="72"/>
      <c r="E252" s="72"/>
      <c r="J252" s="27" t="s">
        <v>66</v>
      </c>
    </row>
    <row r="253" ht="15.75" customHeight="1">
      <c r="A253" s="55"/>
      <c r="B253" s="72"/>
      <c r="D253" s="72"/>
      <c r="E253" s="72"/>
      <c r="J253" s="27" t="s">
        <v>66</v>
      </c>
    </row>
    <row r="254" ht="15.75" customHeight="1">
      <c r="A254" s="55"/>
      <c r="B254" s="72"/>
      <c r="D254" s="72"/>
      <c r="E254" s="72"/>
      <c r="J254" s="27" t="s">
        <v>66</v>
      </c>
    </row>
    <row r="255" ht="15.75" customHeight="1">
      <c r="A255" s="55"/>
      <c r="B255" s="72"/>
      <c r="D255" s="72"/>
      <c r="E255" s="72"/>
      <c r="J255" s="27" t="s">
        <v>66</v>
      </c>
    </row>
    <row r="256" ht="15.75" customHeight="1">
      <c r="A256" s="55"/>
      <c r="B256" s="72"/>
      <c r="D256" s="72"/>
      <c r="E256" s="72"/>
      <c r="J256" s="27" t="s">
        <v>66</v>
      </c>
    </row>
    <row r="257" ht="15.75" customHeight="1">
      <c r="A257" s="55"/>
      <c r="B257" s="72"/>
      <c r="D257" s="72"/>
      <c r="E257" s="72"/>
      <c r="J257" s="27" t="s">
        <v>66</v>
      </c>
    </row>
    <row r="258" ht="15.75" customHeight="1">
      <c r="A258" s="55"/>
      <c r="B258" s="72"/>
      <c r="D258" s="72"/>
      <c r="E258" s="72"/>
      <c r="J258" s="27" t="s">
        <v>66</v>
      </c>
    </row>
    <row r="259" ht="15.75" customHeight="1">
      <c r="A259" s="55"/>
      <c r="B259" s="72"/>
      <c r="D259" s="72"/>
      <c r="E259" s="72"/>
      <c r="J259" s="27" t="s">
        <v>66</v>
      </c>
    </row>
    <row r="260" ht="15.75" customHeight="1">
      <c r="A260" s="55"/>
      <c r="B260" s="72"/>
      <c r="D260" s="72"/>
      <c r="E260" s="72"/>
      <c r="J260" s="27" t="s">
        <v>66</v>
      </c>
    </row>
    <row r="261" ht="15.75" customHeight="1">
      <c r="A261" s="55"/>
      <c r="B261" s="72"/>
      <c r="D261" s="72"/>
      <c r="E261" s="72"/>
      <c r="J261" s="27" t="s">
        <v>66</v>
      </c>
    </row>
    <row r="262" ht="15.75" customHeight="1">
      <c r="A262" s="55"/>
      <c r="B262" s="72"/>
      <c r="D262" s="72"/>
      <c r="E262" s="72"/>
      <c r="J262" s="27" t="s">
        <v>66</v>
      </c>
    </row>
    <row r="263" ht="15.75" customHeight="1">
      <c r="A263" s="55"/>
      <c r="B263" s="72"/>
      <c r="D263" s="72"/>
      <c r="E263" s="72"/>
      <c r="J263" s="27" t="s">
        <v>66</v>
      </c>
    </row>
    <row r="264" ht="15.75" customHeight="1">
      <c r="A264" s="55"/>
      <c r="B264" s="72"/>
      <c r="D264" s="72"/>
      <c r="E264" s="72"/>
      <c r="J264" s="27" t="s">
        <v>66</v>
      </c>
    </row>
    <row r="265" ht="15.75" customHeight="1">
      <c r="A265" s="55"/>
      <c r="B265" s="72"/>
      <c r="D265" s="72"/>
      <c r="E265" s="72"/>
      <c r="J265" s="27" t="s">
        <v>66</v>
      </c>
    </row>
    <row r="266" ht="15.75" customHeight="1">
      <c r="A266" s="55"/>
      <c r="B266" s="72"/>
      <c r="D266" s="72"/>
      <c r="E266" s="72"/>
      <c r="J266" s="27" t="s">
        <v>66</v>
      </c>
    </row>
    <row r="267" ht="15.75" customHeight="1">
      <c r="A267" s="55"/>
      <c r="B267" s="72"/>
      <c r="D267" s="72"/>
      <c r="E267" s="72"/>
      <c r="J267" s="27" t="s">
        <v>66</v>
      </c>
    </row>
    <row r="268" ht="15.75" customHeight="1">
      <c r="A268" s="55"/>
      <c r="B268" s="72"/>
      <c r="D268" s="72"/>
      <c r="E268" s="72"/>
      <c r="J268" s="27" t="s">
        <v>66</v>
      </c>
    </row>
    <row r="269" ht="15.75" customHeight="1">
      <c r="A269" s="55"/>
      <c r="B269" s="72"/>
      <c r="D269" s="72"/>
      <c r="E269" s="72"/>
      <c r="J269" s="27" t="s">
        <v>66</v>
      </c>
    </row>
    <row r="270" ht="15.75" customHeight="1">
      <c r="A270" s="55"/>
      <c r="B270" s="72"/>
      <c r="D270" s="72"/>
      <c r="E270" s="72"/>
      <c r="J270" s="27" t="s">
        <v>66</v>
      </c>
    </row>
    <row r="271" ht="15.75" customHeight="1">
      <c r="A271" s="55"/>
      <c r="B271" s="72"/>
      <c r="D271" s="72"/>
      <c r="E271" s="72"/>
      <c r="J271" s="27" t="s">
        <v>66</v>
      </c>
    </row>
    <row r="272" ht="15.75" customHeight="1">
      <c r="A272" s="55"/>
      <c r="B272" s="72"/>
      <c r="D272" s="72"/>
      <c r="E272" s="72"/>
      <c r="J272" s="27" t="s">
        <v>66</v>
      </c>
    </row>
    <row r="273" ht="15.75" customHeight="1">
      <c r="A273" s="55"/>
      <c r="B273" s="72"/>
      <c r="D273" s="72"/>
      <c r="E273" s="72"/>
      <c r="J273" s="27" t="s">
        <v>66</v>
      </c>
    </row>
    <row r="274" ht="15.75" customHeight="1">
      <c r="A274" s="55"/>
      <c r="B274" s="72"/>
      <c r="D274" s="72"/>
      <c r="E274" s="72"/>
      <c r="J274" s="27" t="s">
        <v>66</v>
      </c>
    </row>
    <row r="275" ht="15.75" customHeight="1">
      <c r="A275" s="55"/>
      <c r="B275" s="72"/>
      <c r="D275" s="72"/>
      <c r="E275" s="72"/>
      <c r="J275" s="27" t="s">
        <v>66</v>
      </c>
    </row>
    <row r="276" ht="15.75" customHeight="1">
      <c r="A276" s="55"/>
      <c r="B276" s="72"/>
      <c r="D276" s="72"/>
      <c r="E276" s="72"/>
      <c r="J276" s="27" t="s">
        <v>66</v>
      </c>
    </row>
    <row r="277" ht="15.75" customHeight="1">
      <c r="A277" s="55"/>
      <c r="B277" s="72"/>
      <c r="D277" s="72"/>
      <c r="E277" s="72"/>
      <c r="J277" s="27" t="s">
        <v>66</v>
      </c>
    </row>
    <row r="278" ht="15.75" customHeight="1">
      <c r="A278" s="55"/>
      <c r="B278" s="72"/>
      <c r="D278" s="72"/>
      <c r="E278" s="72"/>
      <c r="J278" s="27" t="s">
        <v>66</v>
      </c>
    </row>
    <row r="279" ht="15.75" customHeight="1">
      <c r="A279" s="55"/>
      <c r="B279" s="72"/>
      <c r="D279" s="72"/>
      <c r="E279" s="72"/>
      <c r="J279" s="27" t="s">
        <v>66</v>
      </c>
    </row>
    <row r="280" ht="15.75" customHeight="1">
      <c r="A280" s="55"/>
      <c r="B280" s="72"/>
      <c r="D280" s="72"/>
      <c r="E280" s="72"/>
      <c r="J280" s="27" t="s">
        <v>66</v>
      </c>
    </row>
    <row r="281" ht="15.75" customHeight="1">
      <c r="A281" s="55"/>
      <c r="B281" s="72"/>
      <c r="D281" s="72"/>
      <c r="E281" s="72"/>
      <c r="J281" s="27" t="s">
        <v>66</v>
      </c>
    </row>
    <row r="282" ht="15.75" customHeight="1">
      <c r="A282" s="55"/>
      <c r="B282" s="72"/>
      <c r="D282" s="72"/>
      <c r="E282" s="72"/>
      <c r="J282" s="27" t="s">
        <v>66</v>
      </c>
    </row>
    <row r="283" ht="15.75" customHeight="1">
      <c r="A283" s="55"/>
      <c r="B283" s="72"/>
      <c r="D283" s="72"/>
      <c r="E283" s="72"/>
      <c r="J283" s="27" t="s">
        <v>66</v>
      </c>
    </row>
    <row r="284" ht="15.75" customHeight="1">
      <c r="A284" s="55"/>
      <c r="B284" s="72"/>
      <c r="D284" s="72"/>
      <c r="E284" s="72"/>
      <c r="J284" s="27" t="s">
        <v>66</v>
      </c>
    </row>
    <row r="285" ht="15.75" customHeight="1">
      <c r="A285" s="55"/>
      <c r="B285" s="72"/>
      <c r="D285" s="72"/>
      <c r="E285" s="72"/>
      <c r="J285" s="27" t="s">
        <v>66</v>
      </c>
    </row>
    <row r="286" ht="15.75" customHeight="1">
      <c r="A286" s="55"/>
      <c r="B286" s="72"/>
      <c r="D286" s="72"/>
      <c r="E286" s="72"/>
      <c r="J286" s="27" t="s">
        <v>66</v>
      </c>
    </row>
    <row r="287" ht="15.75" customHeight="1">
      <c r="A287" s="55"/>
      <c r="B287" s="72"/>
      <c r="D287" s="72"/>
      <c r="E287" s="72"/>
      <c r="J287" s="27" t="s">
        <v>66</v>
      </c>
    </row>
    <row r="288" ht="15.75" customHeight="1">
      <c r="A288" s="55"/>
      <c r="B288" s="72"/>
      <c r="D288" s="72"/>
      <c r="E288" s="72"/>
      <c r="J288" s="27" t="s">
        <v>66</v>
      </c>
    </row>
    <row r="289" ht="15.75" customHeight="1">
      <c r="A289" s="55"/>
      <c r="B289" s="72"/>
      <c r="D289" s="72"/>
      <c r="E289" s="72"/>
      <c r="J289" s="27" t="s">
        <v>66</v>
      </c>
    </row>
    <row r="290" ht="15.75" customHeight="1">
      <c r="A290" s="55"/>
      <c r="B290" s="72"/>
      <c r="D290" s="72"/>
      <c r="E290" s="72"/>
      <c r="J290" s="27" t="s">
        <v>66</v>
      </c>
    </row>
    <row r="291" ht="15.75" customHeight="1">
      <c r="A291" s="55"/>
      <c r="B291" s="72"/>
      <c r="D291" s="72"/>
      <c r="E291" s="72"/>
      <c r="J291" s="27" t="s">
        <v>66</v>
      </c>
    </row>
    <row r="292" ht="15.75" customHeight="1">
      <c r="A292" s="55"/>
      <c r="B292" s="72"/>
      <c r="D292" s="72"/>
      <c r="E292" s="72"/>
      <c r="J292" s="27" t="s">
        <v>66</v>
      </c>
    </row>
    <row r="293" ht="15.75" customHeight="1">
      <c r="A293" s="55"/>
      <c r="B293" s="72"/>
      <c r="D293" s="72"/>
      <c r="E293" s="72"/>
      <c r="J293" s="27" t="s">
        <v>66</v>
      </c>
    </row>
    <row r="294" ht="15.75" customHeight="1">
      <c r="A294" s="55"/>
      <c r="B294" s="72"/>
      <c r="D294" s="72"/>
      <c r="E294" s="72"/>
      <c r="J294" s="27" t="s">
        <v>66</v>
      </c>
    </row>
    <row r="295" ht="15.75" customHeight="1">
      <c r="A295" s="55"/>
      <c r="B295" s="72"/>
      <c r="D295" s="72"/>
      <c r="E295" s="72"/>
      <c r="J295" s="27" t="s">
        <v>66</v>
      </c>
    </row>
    <row r="296" ht="15.75" customHeight="1">
      <c r="A296" s="55"/>
      <c r="B296" s="72"/>
      <c r="D296" s="72"/>
      <c r="E296" s="72"/>
      <c r="J296" s="27" t="s">
        <v>66</v>
      </c>
    </row>
    <row r="297" ht="15.75" customHeight="1">
      <c r="A297" s="55"/>
      <c r="B297" s="72"/>
      <c r="D297" s="72"/>
      <c r="E297" s="72"/>
      <c r="J297" s="27" t="s">
        <v>66</v>
      </c>
    </row>
    <row r="298" ht="15.75" customHeight="1">
      <c r="A298" s="55"/>
      <c r="B298" s="72"/>
      <c r="D298" s="72"/>
      <c r="E298" s="72"/>
      <c r="J298" s="27" t="s">
        <v>66</v>
      </c>
    </row>
    <row r="299" ht="15.75" customHeight="1">
      <c r="A299" s="55"/>
      <c r="B299" s="72"/>
      <c r="D299" s="72"/>
      <c r="E299" s="72"/>
      <c r="J299" s="27" t="s">
        <v>66</v>
      </c>
    </row>
    <row r="300" ht="15.75" customHeight="1">
      <c r="A300" s="55"/>
      <c r="B300" s="72"/>
      <c r="D300" s="72"/>
      <c r="E300" s="72"/>
      <c r="J300" s="27" t="s">
        <v>66</v>
      </c>
    </row>
    <row r="301" ht="15.75" customHeight="1">
      <c r="A301" s="55"/>
      <c r="B301" s="72"/>
      <c r="D301" s="72"/>
      <c r="E301" s="72"/>
      <c r="J301" s="27" t="s">
        <v>66</v>
      </c>
    </row>
    <row r="302" ht="15.75" customHeight="1">
      <c r="A302" s="55"/>
      <c r="B302" s="72"/>
      <c r="D302" s="72"/>
      <c r="E302" s="72"/>
      <c r="J302" s="27" t="s">
        <v>66</v>
      </c>
    </row>
    <row r="303" ht="15.75" customHeight="1">
      <c r="A303" s="55"/>
      <c r="B303" s="72"/>
      <c r="D303" s="72"/>
      <c r="E303" s="72"/>
      <c r="J303" s="27" t="s">
        <v>66</v>
      </c>
    </row>
    <row r="304" ht="15.75" customHeight="1">
      <c r="A304" s="55"/>
      <c r="B304" s="72"/>
      <c r="D304" s="72"/>
      <c r="E304" s="72"/>
      <c r="J304" s="27" t="s">
        <v>66</v>
      </c>
    </row>
    <row r="305" ht="15.75" customHeight="1">
      <c r="A305" s="55"/>
      <c r="B305" s="72"/>
      <c r="D305" s="72"/>
      <c r="E305" s="72"/>
      <c r="J305" s="27" t="s">
        <v>66</v>
      </c>
    </row>
    <row r="306" ht="15.75" customHeight="1">
      <c r="A306" s="55"/>
      <c r="B306" s="72"/>
      <c r="D306" s="72"/>
      <c r="E306" s="72"/>
      <c r="J306" s="27" t="s">
        <v>66</v>
      </c>
    </row>
    <row r="307" ht="15.75" customHeight="1">
      <c r="A307" s="55"/>
      <c r="B307" s="72"/>
      <c r="D307" s="72"/>
      <c r="E307" s="72"/>
      <c r="J307" s="27" t="s">
        <v>66</v>
      </c>
    </row>
    <row r="308" ht="15.75" customHeight="1">
      <c r="A308" s="55"/>
      <c r="B308" s="72"/>
      <c r="D308" s="72"/>
      <c r="E308" s="72"/>
      <c r="J308" s="27" t="s">
        <v>66</v>
      </c>
    </row>
    <row r="309" ht="15.75" customHeight="1">
      <c r="A309" s="55"/>
      <c r="B309" s="72"/>
      <c r="D309" s="72"/>
      <c r="E309" s="72"/>
      <c r="J309" s="27" t="s">
        <v>66</v>
      </c>
    </row>
    <row r="310" ht="15.75" customHeight="1">
      <c r="A310" s="55"/>
      <c r="B310" s="72"/>
      <c r="D310" s="72"/>
      <c r="E310" s="72"/>
      <c r="J310" s="27" t="s">
        <v>66</v>
      </c>
    </row>
    <row r="311" ht="15.75" customHeight="1">
      <c r="A311" s="55"/>
      <c r="B311" s="72"/>
      <c r="D311" s="72"/>
      <c r="E311" s="72"/>
      <c r="J311" s="27" t="s">
        <v>66</v>
      </c>
    </row>
    <row r="312" ht="15.75" customHeight="1">
      <c r="A312" s="55"/>
      <c r="B312" s="72"/>
      <c r="D312" s="72"/>
      <c r="E312" s="72"/>
      <c r="J312" s="27" t="s">
        <v>66</v>
      </c>
    </row>
    <row r="313" ht="15.75" customHeight="1">
      <c r="A313" s="55"/>
      <c r="B313" s="72"/>
      <c r="D313" s="72"/>
      <c r="E313" s="72"/>
      <c r="J313" s="27" t="s">
        <v>66</v>
      </c>
    </row>
    <row r="314" ht="15.75" customHeight="1">
      <c r="A314" s="55"/>
      <c r="B314" s="72"/>
      <c r="D314" s="72"/>
      <c r="E314" s="72"/>
      <c r="J314" s="27" t="s">
        <v>66</v>
      </c>
    </row>
    <row r="315" ht="15.75" customHeight="1">
      <c r="A315" s="55"/>
      <c r="B315" s="72"/>
      <c r="D315" s="72"/>
      <c r="E315" s="72"/>
      <c r="J315" s="27" t="s">
        <v>66</v>
      </c>
    </row>
    <row r="316" ht="15.75" customHeight="1">
      <c r="A316" s="55"/>
      <c r="B316" s="72"/>
      <c r="D316" s="72"/>
      <c r="E316" s="72"/>
      <c r="J316" s="27" t="s">
        <v>66</v>
      </c>
    </row>
    <row r="317" ht="15.75" customHeight="1">
      <c r="A317" s="55"/>
      <c r="B317" s="72"/>
      <c r="D317" s="72"/>
      <c r="E317" s="72"/>
      <c r="J317" s="27" t="s">
        <v>66</v>
      </c>
    </row>
    <row r="318" ht="15.75" customHeight="1">
      <c r="A318" s="55"/>
      <c r="B318" s="72"/>
      <c r="D318" s="72"/>
      <c r="E318" s="72"/>
      <c r="J318" s="27" t="s">
        <v>66</v>
      </c>
    </row>
    <row r="319" ht="15.75" customHeight="1">
      <c r="A319" s="55"/>
      <c r="B319" s="72"/>
      <c r="D319" s="72"/>
      <c r="E319" s="72"/>
      <c r="J319" s="27" t="s">
        <v>66</v>
      </c>
    </row>
    <row r="320" ht="15.75" customHeight="1">
      <c r="A320" s="55"/>
      <c r="B320" s="72"/>
      <c r="D320" s="72"/>
      <c r="E320" s="72"/>
      <c r="J320" s="27" t="s">
        <v>66</v>
      </c>
    </row>
    <row r="321" ht="15.75" customHeight="1">
      <c r="A321" s="55"/>
      <c r="B321" s="72"/>
      <c r="D321" s="72"/>
      <c r="E321" s="72"/>
      <c r="J321" s="27" t="s">
        <v>66</v>
      </c>
    </row>
    <row r="322" ht="15.75" customHeight="1">
      <c r="A322" s="55"/>
      <c r="B322" s="72"/>
      <c r="D322" s="72"/>
      <c r="E322" s="72"/>
      <c r="J322" s="27" t="s">
        <v>66</v>
      </c>
    </row>
    <row r="323" ht="15.75" customHeight="1">
      <c r="A323" s="55"/>
      <c r="B323" s="72"/>
      <c r="D323" s="72"/>
      <c r="E323" s="72"/>
      <c r="J323" s="27" t="s">
        <v>66</v>
      </c>
    </row>
    <row r="324" ht="15.75" customHeight="1">
      <c r="A324" s="55"/>
      <c r="B324" s="72"/>
      <c r="D324" s="72"/>
      <c r="E324" s="72"/>
      <c r="J324" s="27" t="s">
        <v>66</v>
      </c>
    </row>
    <row r="325" ht="15.75" customHeight="1">
      <c r="A325" s="55"/>
      <c r="B325" s="72"/>
      <c r="D325" s="72"/>
      <c r="E325" s="72"/>
      <c r="J325" s="27" t="s">
        <v>66</v>
      </c>
    </row>
    <row r="326" ht="15.75" customHeight="1">
      <c r="A326" s="55"/>
      <c r="B326" s="72"/>
      <c r="D326" s="72"/>
      <c r="E326" s="72"/>
      <c r="J326" s="27" t="s">
        <v>66</v>
      </c>
    </row>
    <row r="327" ht="15.75" customHeight="1">
      <c r="A327" s="55"/>
      <c r="B327" s="72"/>
      <c r="D327" s="72"/>
      <c r="E327" s="72"/>
      <c r="J327" s="27" t="s">
        <v>66</v>
      </c>
    </row>
    <row r="328" ht="15.75" customHeight="1">
      <c r="A328" s="55"/>
      <c r="B328" s="72"/>
      <c r="D328" s="72"/>
      <c r="E328" s="72"/>
      <c r="J328" s="27" t="s">
        <v>66</v>
      </c>
    </row>
    <row r="329" ht="15.75" customHeight="1">
      <c r="A329" s="55"/>
      <c r="B329" s="72"/>
      <c r="D329" s="72"/>
      <c r="E329" s="72"/>
      <c r="J329" s="27" t="s">
        <v>66</v>
      </c>
    </row>
    <row r="330" ht="15.75" customHeight="1">
      <c r="A330" s="55"/>
      <c r="B330" s="72"/>
      <c r="D330" s="72"/>
      <c r="E330" s="72"/>
      <c r="J330" s="27" t="s">
        <v>66</v>
      </c>
    </row>
    <row r="331" ht="15.75" customHeight="1">
      <c r="A331" s="55"/>
      <c r="B331" s="72"/>
      <c r="D331" s="72"/>
      <c r="E331" s="72"/>
      <c r="J331" s="27" t="s">
        <v>66</v>
      </c>
    </row>
    <row r="332" ht="15.75" customHeight="1">
      <c r="A332" s="55"/>
      <c r="B332" s="72"/>
      <c r="D332" s="72"/>
      <c r="E332" s="72"/>
      <c r="J332" s="27" t="s">
        <v>66</v>
      </c>
    </row>
    <row r="333" ht="15.75" customHeight="1">
      <c r="A333" s="55"/>
      <c r="B333" s="72"/>
      <c r="D333" s="72"/>
      <c r="E333" s="72"/>
      <c r="J333" s="27" t="s">
        <v>66</v>
      </c>
    </row>
    <row r="334" ht="15.75" customHeight="1">
      <c r="A334" s="55"/>
      <c r="B334" s="72"/>
      <c r="D334" s="72"/>
      <c r="E334" s="72"/>
      <c r="J334" s="27" t="s">
        <v>66</v>
      </c>
    </row>
    <row r="335" ht="15.75" customHeight="1">
      <c r="A335" s="55"/>
      <c r="B335" s="72"/>
      <c r="D335" s="72"/>
      <c r="E335" s="72"/>
      <c r="J335" s="27" t="s">
        <v>66</v>
      </c>
    </row>
    <row r="336" ht="15.75" customHeight="1">
      <c r="A336" s="55"/>
      <c r="B336" s="72"/>
      <c r="D336" s="72"/>
      <c r="E336" s="72"/>
      <c r="J336" s="27" t="s">
        <v>66</v>
      </c>
    </row>
    <row r="337" ht="15.75" customHeight="1">
      <c r="A337" s="55"/>
      <c r="B337" s="72"/>
      <c r="D337" s="72"/>
      <c r="E337" s="72"/>
      <c r="J337" s="27" t="s">
        <v>66</v>
      </c>
    </row>
    <row r="338" ht="15.75" customHeight="1">
      <c r="A338" s="55"/>
      <c r="B338" s="72"/>
      <c r="D338" s="72"/>
      <c r="E338" s="72"/>
      <c r="J338" s="27" t="s">
        <v>66</v>
      </c>
    </row>
    <row r="339" ht="15.75" customHeight="1">
      <c r="A339" s="55"/>
      <c r="B339" s="72"/>
      <c r="D339" s="72"/>
      <c r="E339" s="72"/>
      <c r="J339" s="27" t="s">
        <v>66</v>
      </c>
    </row>
    <row r="340" ht="15.75" customHeight="1">
      <c r="A340" s="55"/>
      <c r="B340" s="72"/>
      <c r="D340" s="72"/>
      <c r="E340" s="72"/>
      <c r="J340" s="27" t="s">
        <v>66</v>
      </c>
    </row>
    <row r="341" ht="15.75" customHeight="1">
      <c r="A341" s="55"/>
      <c r="B341" s="72"/>
      <c r="D341" s="72"/>
      <c r="E341" s="72"/>
      <c r="J341" s="27" t="s">
        <v>66</v>
      </c>
    </row>
    <row r="342" ht="15.75" customHeight="1">
      <c r="A342" s="55"/>
      <c r="B342" s="72"/>
      <c r="D342" s="72"/>
      <c r="E342" s="72"/>
      <c r="J342" s="27" t="s">
        <v>66</v>
      </c>
    </row>
    <row r="343" ht="15.75" customHeight="1">
      <c r="A343" s="55"/>
      <c r="B343" s="72"/>
      <c r="D343" s="72"/>
      <c r="E343" s="72"/>
      <c r="J343" s="27" t="s">
        <v>66</v>
      </c>
    </row>
    <row r="344" ht="15.75" customHeight="1">
      <c r="A344" s="55"/>
      <c r="B344" s="72"/>
      <c r="D344" s="72"/>
      <c r="E344" s="72"/>
      <c r="J344" s="27" t="s">
        <v>66</v>
      </c>
    </row>
    <row r="345" ht="15.75" customHeight="1">
      <c r="A345" s="55"/>
      <c r="B345" s="72"/>
      <c r="D345" s="72"/>
      <c r="E345" s="72"/>
      <c r="J345" s="27" t="s">
        <v>66</v>
      </c>
    </row>
    <row r="346" ht="15.75" customHeight="1">
      <c r="A346" s="55"/>
      <c r="B346" s="72"/>
      <c r="D346" s="72"/>
      <c r="E346" s="72"/>
      <c r="J346" s="27" t="s">
        <v>66</v>
      </c>
    </row>
    <row r="347" ht="15.75" customHeight="1">
      <c r="A347" s="55"/>
      <c r="B347" s="72"/>
      <c r="D347" s="72"/>
      <c r="E347" s="72"/>
      <c r="J347" s="27" t="s">
        <v>66</v>
      </c>
    </row>
    <row r="348" ht="15.75" customHeight="1">
      <c r="A348" s="55"/>
      <c r="B348" s="72"/>
      <c r="D348" s="72"/>
      <c r="E348" s="72"/>
      <c r="J348" s="27" t="s">
        <v>66</v>
      </c>
    </row>
    <row r="349" ht="15.75" customHeight="1">
      <c r="A349" s="55"/>
      <c r="B349" s="72"/>
      <c r="D349" s="72"/>
      <c r="E349" s="72"/>
      <c r="J349" s="27" t="s">
        <v>66</v>
      </c>
    </row>
    <row r="350" ht="15.75" customHeight="1">
      <c r="A350" s="55"/>
      <c r="B350" s="72"/>
      <c r="D350" s="72"/>
      <c r="E350" s="72"/>
      <c r="J350" s="27" t="s">
        <v>66</v>
      </c>
    </row>
    <row r="351" ht="15.75" customHeight="1">
      <c r="A351" s="55"/>
      <c r="B351" s="72"/>
      <c r="D351" s="72"/>
      <c r="E351" s="72"/>
      <c r="J351" s="27" t="s">
        <v>66</v>
      </c>
    </row>
    <row r="352" ht="15.75" customHeight="1">
      <c r="A352" s="55"/>
      <c r="B352" s="72"/>
      <c r="D352" s="72"/>
      <c r="E352" s="72"/>
      <c r="J352" s="27" t="s">
        <v>66</v>
      </c>
    </row>
    <row r="353" ht="15.75" customHeight="1">
      <c r="A353" s="55"/>
      <c r="B353" s="72"/>
      <c r="D353" s="72"/>
      <c r="E353" s="72"/>
      <c r="J353" s="27" t="s">
        <v>66</v>
      </c>
    </row>
    <row r="354" ht="15.75" customHeight="1">
      <c r="A354" s="55"/>
      <c r="B354" s="72"/>
      <c r="D354" s="72"/>
      <c r="E354" s="72"/>
      <c r="J354" s="27" t="s">
        <v>66</v>
      </c>
    </row>
    <row r="355" ht="15.75" customHeight="1">
      <c r="A355" s="55"/>
      <c r="B355" s="72"/>
      <c r="D355" s="72"/>
      <c r="E355" s="72"/>
      <c r="J355" s="27" t="s">
        <v>66</v>
      </c>
    </row>
    <row r="356" ht="15.75" customHeight="1">
      <c r="A356" s="55"/>
      <c r="B356" s="72"/>
      <c r="D356" s="72"/>
      <c r="E356" s="72"/>
      <c r="J356" s="27" t="s">
        <v>66</v>
      </c>
    </row>
    <row r="357" ht="15.75" customHeight="1">
      <c r="A357" s="55"/>
      <c r="B357" s="72"/>
      <c r="D357" s="72"/>
      <c r="E357" s="72"/>
      <c r="J357" s="27" t="s">
        <v>66</v>
      </c>
    </row>
    <row r="358" ht="15.75" customHeight="1">
      <c r="A358" s="55"/>
      <c r="B358" s="72"/>
      <c r="D358" s="72"/>
      <c r="E358" s="72"/>
      <c r="J358" s="27" t="s">
        <v>66</v>
      </c>
    </row>
    <row r="359" ht="15.75" customHeight="1">
      <c r="A359" s="55"/>
      <c r="B359" s="72"/>
      <c r="D359" s="72"/>
      <c r="E359" s="72"/>
      <c r="J359" s="27" t="s">
        <v>66</v>
      </c>
    </row>
    <row r="360" ht="15.75" customHeight="1">
      <c r="A360" s="55"/>
      <c r="B360" s="72"/>
      <c r="D360" s="72"/>
      <c r="E360" s="72"/>
      <c r="J360" s="27" t="s">
        <v>66</v>
      </c>
    </row>
    <row r="361" ht="15.75" customHeight="1">
      <c r="A361" s="55"/>
      <c r="B361" s="72"/>
      <c r="D361" s="72"/>
      <c r="E361" s="72"/>
      <c r="J361" s="27" t="s">
        <v>66</v>
      </c>
    </row>
    <row r="362" ht="15.75" customHeight="1">
      <c r="A362" s="55"/>
      <c r="B362" s="72"/>
      <c r="D362" s="72"/>
      <c r="E362" s="72"/>
      <c r="J362" s="27" t="s">
        <v>66</v>
      </c>
    </row>
    <row r="363" ht="15.75" customHeight="1">
      <c r="A363" s="55"/>
      <c r="B363" s="72"/>
      <c r="D363" s="72"/>
      <c r="E363" s="72"/>
      <c r="J363" s="27" t="s">
        <v>66</v>
      </c>
    </row>
    <row r="364" ht="15.75" customHeight="1">
      <c r="A364" s="55"/>
      <c r="B364" s="72"/>
      <c r="D364" s="72"/>
      <c r="E364" s="72"/>
      <c r="J364" s="27" t="s">
        <v>66</v>
      </c>
    </row>
    <row r="365" ht="15.75" customHeight="1">
      <c r="A365" s="55"/>
      <c r="B365" s="72"/>
      <c r="D365" s="72"/>
      <c r="E365" s="72"/>
      <c r="J365" s="27" t="s">
        <v>66</v>
      </c>
    </row>
    <row r="366" ht="15.75" customHeight="1">
      <c r="A366" s="55"/>
      <c r="B366" s="72"/>
      <c r="D366" s="72"/>
      <c r="E366" s="72"/>
      <c r="J366" s="27" t="s">
        <v>66</v>
      </c>
    </row>
    <row r="367" ht="15.75" customHeight="1">
      <c r="A367" s="55"/>
      <c r="B367" s="72"/>
      <c r="D367" s="72"/>
      <c r="E367" s="72"/>
      <c r="J367" s="27" t="s">
        <v>66</v>
      </c>
    </row>
    <row r="368" ht="15.75" customHeight="1">
      <c r="A368" s="55"/>
      <c r="B368" s="72"/>
      <c r="D368" s="72"/>
      <c r="E368" s="72"/>
      <c r="J368" s="27" t="s">
        <v>66</v>
      </c>
    </row>
    <row r="369" ht="15.75" customHeight="1">
      <c r="A369" s="55"/>
      <c r="B369" s="72"/>
      <c r="D369" s="72"/>
      <c r="E369" s="72"/>
      <c r="J369" s="27" t="s">
        <v>66</v>
      </c>
    </row>
    <row r="370" ht="15.75" customHeight="1">
      <c r="A370" s="55"/>
      <c r="B370" s="72"/>
      <c r="D370" s="72"/>
      <c r="E370" s="72"/>
      <c r="J370" s="27" t="s">
        <v>66</v>
      </c>
    </row>
    <row r="371" ht="15.75" customHeight="1">
      <c r="A371" s="55"/>
      <c r="B371" s="72"/>
      <c r="D371" s="72"/>
      <c r="E371" s="72"/>
      <c r="J371" s="27" t="s">
        <v>66</v>
      </c>
    </row>
    <row r="372" ht="15.75" customHeight="1">
      <c r="A372" s="55"/>
      <c r="B372" s="72"/>
      <c r="D372" s="72"/>
      <c r="E372" s="72"/>
      <c r="J372" s="27" t="s">
        <v>66</v>
      </c>
    </row>
    <row r="373" ht="15.75" customHeight="1">
      <c r="A373" s="55"/>
      <c r="B373" s="72"/>
      <c r="D373" s="72"/>
      <c r="E373" s="72"/>
      <c r="J373" s="27" t="s">
        <v>66</v>
      </c>
    </row>
    <row r="374" ht="15.75" customHeight="1">
      <c r="A374" s="55"/>
      <c r="B374" s="72"/>
      <c r="D374" s="72"/>
      <c r="E374" s="72"/>
      <c r="J374" s="27" t="s">
        <v>66</v>
      </c>
    </row>
    <row r="375" ht="15.75" customHeight="1">
      <c r="A375" s="55"/>
      <c r="B375" s="72"/>
      <c r="D375" s="72"/>
      <c r="E375" s="72"/>
      <c r="J375" s="27" t="s">
        <v>66</v>
      </c>
    </row>
    <row r="376" ht="15.75" customHeight="1">
      <c r="A376" s="55"/>
      <c r="B376" s="72"/>
      <c r="D376" s="72"/>
      <c r="E376" s="72"/>
      <c r="J376" s="27" t="s">
        <v>66</v>
      </c>
    </row>
    <row r="377" ht="15.75" customHeight="1">
      <c r="A377" s="55"/>
      <c r="B377" s="72"/>
      <c r="D377" s="72"/>
      <c r="E377" s="72"/>
      <c r="J377" s="27" t="s">
        <v>66</v>
      </c>
    </row>
    <row r="378" ht="15.75" customHeight="1">
      <c r="A378" s="55"/>
      <c r="B378" s="72"/>
      <c r="D378" s="72"/>
      <c r="E378" s="72"/>
      <c r="J378" s="27" t="s">
        <v>66</v>
      </c>
    </row>
    <row r="379" ht="15.75" customHeight="1">
      <c r="A379" s="55"/>
      <c r="B379" s="72"/>
      <c r="D379" s="72"/>
      <c r="E379" s="72"/>
      <c r="J379" s="27" t="s">
        <v>66</v>
      </c>
    </row>
    <row r="380" ht="15.75" customHeight="1">
      <c r="A380" s="55"/>
      <c r="B380" s="72"/>
      <c r="D380" s="72"/>
      <c r="E380" s="72"/>
      <c r="J380" s="27" t="s">
        <v>66</v>
      </c>
    </row>
    <row r="381" ht="15.75" customHeight="1">
      <c r="A381" s="55"/>
      <c r="B381" s="72"/>
      <c r="D381" s="72"/>
      <c r="E381" s="72"/>
      <c r="J381" s="27" t="s">
        <v>66</v>
      </c>
    </row>
    <row r="382" ht="15.75" customHeight="1">
      <c r="A382" s="55"/>
      <c r="B382" s="72"/>
      <c r="D382" s="72"/>
      <c r="E382" s="72"/>
      <c r="J382" s="27" t="s">
        <v>66</v>
      </c>
    </row>
    <row r="383" ht="15.75" customHeight="1">
      <c r="A383" s="55"/>
      <c r="B383" s="72"/>
      <c r="D383" s="72"/>
      <c r="E383" s="72"/>
      <c r="J383" s="27" t="s">
        <v>66</v>
      </c>
    </row>
    <row r="384" ht="15.75" customHeight="1">
      <c r="A384" s="55"/>
      <c r="B384" s="72"/>
      <c r="D384" s="72"/>
      <c r="E384" s="72"/>
      <c r="J384" s="27" t="s">
        <v>66</v>
      </c>
    </row>
    <row r="385" ht="15.75" customHeight="1">
      <c r="A385" s="55"/>
      <c r="B385" s="72"/>
      <c r="D385" s="72"/>
      <c r="E385" s="72"/>
      <c r="J385" s="27" t="s">
        <v>66</v>
      </c>
    </row>
    <row r="386" ht="15.75" customHeight="1">
      <c r="A386" s="55"/>
      <c r="B386" s="72"/>
      <c r="D386" s="72"/>
      <c r="E386" s="72"/>
      <c r="J386" s="27" t="s">
        <v>66</v>
      </c>
    </row>
    <row r="387" ht="15.75" customHeight="1">
      <c r="A387" s="55"/>
      <c r="B387" s="72"/>
      <c r="D387" s="72"/>
      <c r="E387" s="72"/>
      <c r="J387" s="27" t="s">
        <v>66</v>
      </c>
    </row>
    <row r="388" ht="15.75" customHeight="1">
      <c r="A388" s="55"/>
      <c r="B388" s="72"/>
      <c r="D388" s="72"/>
      <c r="E388" s="72"/>
      <c r="J388" s="27" t="s">
        <v>66</v>
      </c>
    </row>
    <row r="389" ht="15.75" customHeight="1">
      <c r="A389" s="55"/>
      <c r="B389" s="72"/>
      <c r="D389" s="72"/>
      <c r="E389" s="72"/>
      <c r="J389" s="27" t="s">
        <v>66</v>
      </c>
    </row>
    <row r="390" ht="15.75" customHeight="1">
      <c r="A390" s="55"/>
      <c r="B390" s="72"/>
      <c r="D390" s="72"/>
      <c r="E390" s="72"/>
      <c r="J390" s="27" t="s">
        <v>66</v>
      </c>
    </row>
    <row r="391" ht="15.75" customHeight="1">
      <c r="A391" s="55"/>
      <c r="B391" s="72"/>
      <c r="D391" s="72"/>
      <c r="E391" s="72"/>
      <c r="J391" s="27" t="s">
        <v>66</v>
      </c>
    </row>
    <row r="392" ht="15.75" customHeight="1">
      <c r="A392" s="55"/>
      <c r="B392" s="72"/>
      <c r="D392" s="72"/>
      <c r="E392" s="72"/>
      <c r="J392" s="27" t="s">
        <v>66</v>
      </c>
    </row>
    <row r="393" ht="15.75" customHeight="1">
      <c r="A393" s="55"/>
      <c r="B393" s="72"/>
      <c r="D393" s="72"/>
      <c r="E393" s="72"/>
      <c r="J393" s="27" t="s">
        <v>66</v>
      </c>
    </row>
    <row r="394" ht="15.75" customHeight="1">
      <c r="A394" s="55"/>
      <c r="B394" s="72"/>
      <c r="D394" s="72"/>
      <c r="E394" s="72"/>
      <c r="J394" s="27" t="s">
        <v>66</v>
      </c>
    </row>
    <row r="395" ht="15.75" customHeight="1">
      <c r="A395" s="55"/>
      <c r="B395" s="72"/>
      <c r="D395" s="72"/>
      <c r="E395" s="72"/>
      <c r="J395" s="27" t="s">
        <v>66</v>
      </c>
    </row>
    <row r="396" ht="15.75" customHeight="1">
      <c r="A396" s="55"/>
      <c r="B396" s="72"/>
      <c r="D396" s="72"/>
      <c r="E396" s="72"/>
      <c r="J396" s="27" t="s">
        <v>66</v>
      </c>
    </row>
    <row r="397" ht="15.75" customHeight="1">
      <c r="A397" s="55"/>
      <c r="B397" s="72"/>
      <c r="D397" s="72"/>
      <c r="E397" s="72"/>
      <c r="J397" s="27" t="s">
        <v>66</v>
      </c>
    </row>
    <row r="398" ht="15.75" customHeight="1">
      <c r="A398" s="55"/>
      <c r="B398" s="72"/>
      <c r="D398" s="72"/>
      <c r="E398" s="72"/>
      <c r="J398" s="27" t="s">
        <v>66</v>
      </c>
    </row>
    <row r="399" ht="15.75" customHeight="1">
      <c r="A399" s="55"/>
      <c r="B399" s="72"/>
      <c r="D399" s="72"/>
      <c r="E399" s="72"/>
      <c r="J399" s="27" t="s">
        <v>66</v>
      </c>
    </row>
    <row r="400" ht="15.75" customHeight="1">
      <c r="A400" s="55"/>
      <c r="B400" s="72"/>
      <c r="D400" s="72"/>
      <c r="E400" s="72"/>
      <c r="J400" s="27" t="s">
        <v>66</v>
      </c>
    </row>
    <row r="401" ht="15.75" customHeight="1">
      <c r="A401" s="55"/>
      <c r="B401" s="72"/>
      <c r="D401" s="72"/>
      <c r="E401" s="72"/>
      <c r="J401" s="27" t="s">
        <v>66</v>
      </c>
    </row>
    <row r="402" ht="15.75" customHeight="1">
      <c r="A402" s="55"/>
      <c r="B402" s="72"/>
      <c r="D402" s="72"/>
      <c r="E402" s="72"/>
      <c r="J402" s="27" t="s">
        <v>66</v>
      </c>
    </row>
    <row r="403" ht="15.75" customHeight="1">
      <c r="A403" s="55"/>
      <c r="B403" s="72"/>
      <c r="D403" s="72"/>
      <c r="E403" s="72"/>
      <c r="J403" s="27" t="s">
        <v>66</v>
      </c>
    </row>
    <row r="404" ht="15.75" customHeight="1">
      <c r="A404" s="55"/>
      <c r="B404" s="72"/>
      <c r="D404" s="72"/>
      <c r="E404" s="72"/>
      <c r="J404" s="27" t="s">
        <v>66</v>
      </c>
    </row>
    <row r="405" ht="15.75" customHeight="1">
      <c r="A405" s="55"/>
      <c r="B405" s="72"/>
      <c r="D405" s="72"/>
      <c r="E405" s="72"/>
      <c r="J405" s="27" t="s">
        <v>66</v>
      </c>
    </row>
    <row r="406" ht="15.75" customHeight="1">
      <c r="A406" s="55"/>
      <c r="B406" s="72"/>
      <c r="D406" s="72"/>
      <c r="E406" s="72"/>
      <c r="J406" s="27" t="s">
        <v>66</v>
      </c>
    </row>
    <row r="407" ht="15.75" customHeight="1">
      <c r="A407" s="55"/>
      <c r="B407" s="72"/>
      <c r="D407" s="72"/>
      <c r="E407" s="72"/>
      <c r="J407" s="27" t="s">
        <v>66</v>
      </c>
    </row>
    <row r="408" ht="15.75" customHeight="1">
      <c r="A408" s="55"/>
      <c r="B408" s="72"/>
      <c r="D408" s="72"/>
      <c r="E408" s="72"/>
      <c r="J408" s="27" t="s">
        <v>66</v>
      </c>
    </row>
    <row r="409" ht="15.75" customHeight="1">
      <c r="A409" s="55"/>
      <c r="B409" s="72"/>
      <c r="D409" s="72"/>
      <c r="E409" s="72"/>
      <c r="J409" s="27" t="s">
        <v>66</v>
      </c>
    </row>
    <row r="410" ht="15.75" customHeight="1">
      <c r="A410" s="55"/>
      <c r="B410" s="72"/>
      <c r="D410" s="72"/>
      <c r="E410" s="72"/>
      <c r="J410" s="27" t="s">
        <v>66</v>
      </c>
    </row>
    <row r="411" ht="15.75" customHeight="1">
      <c r="A411" s="55"/>
      <c r="B411" s="72"/>
      <c r="D411" s="72"/>
      <c r="E411" s="72"/>
      <c r="J411" s="27" t="s">
        <v>66</v>
      </c>
    </row>
    <row r="412" ht="15.75" customHeight="1">
      <c r="A412" s="55"/>
      <c r="B412" s="72"/>
      <c r="D412" s="72"/>
      <c r="E412" s="72"/>
      <c r="J412" s="27" t="s">
        <v>66</v>
      </c>
    </row>
    <row r="413" ht="15.75" customHeight="1">
      <c r="A413" s="55"/>
      <c r="B413" s="72"/>
      <c r="D413" s="72"/>
      <c r="E413" s="72"/>
      <c r="J413" s="27" t="s">
        <v>66</v>
      </c>
    </row>
    <row r="414" ht="15.75" customHeight="1">
      <c r="A414" s="55"/>
      <c r="B414" s="72"/>
      <c r="D414" s="72"/>
      <c r="E414" s="72"/>
      <c r="J414" s="27" t="s">
        <v>66</v>
      </c>
    </row>
    <row r="415" ht="15.75" customHeight="1">
      <c r="A415" s="55"/>
      <c r="B415" s="72"/>
      <c r="D415" s="72"/>
      <c r="E415" s="72"/>
      <c r="J415" s="27" t="s">
        <v>66</v>
      </c>
    </row>
    <row r="416" ht="15.75" customHeight="1">
      <c r="A416" s="55"/>
      <c r="B416" s="72"/>
      <c r="D416" s="72"/>
      <c r="E416" s="72"/>
      <c r="J416" s="27" t="s">
        <v>66</v>
      </c>
    </row>
    <row r="417" ht="15.75" customHeight="1">
      <c r="A417" s="55"/>
      <c r="B417" s="72"/>
      <c r="D417" s="72"/>
      <c r="E417" s="72"/>
      <c r="J417" s="27" t="s">
        <v>66</v>
      </c>
    </row>
    <row r="418" ht="15.75" customHeight="1">
      <c r="A418" s="55"/>
      <c r="B418" s="72"/>
      <c r="D418" s="72"/>
      <c r="E418" s="72"/>
      <c r="J418" s="27" t="s">
        <v>66</v>
      </c>
    </row>
    <row r="419" ht="15.75" customHeight="1">
      <c r="A419" s="55"/>
      <c r="B419" s="72"/>
      <c r="D419" s="72"/>
      <c r="E419" s="72"/>
      <c r="J419" s="27" t="s">
        <v>66</v>
      </c>
    </row>
    <row r="420" ht="15.75" customHeight="1">
      <c r="A420" s="55"/>
      <c r="B420" s="72"/>
      <c r="D420" s="72"/>
      <c r="E420" s="72"/>
      <c r="J420" s="27" t="s">
        <v>66</v>
      </c>
    </row>
    <row r="421" ht="15.75" customHeight="1">
      <c r="A421" s="55"/>
      <c r="B421" s="72"/>
      <c r="D421" s="72"/>
      <c r="E421" s="72"/>
      <c r="J421" s="27" t="s">
        <v>66</v>
      </c>
    </row>
    <row r="422" ht="15.75" customHeight="1">
      <c r="A422" s="55"/>
      <c r="B422" s="72"/>
      <c r="D422" s="72"/>
      <c r="E422" s="72"/>
      <c r="J422" s="27" t="s">
        <v>66</v>
      </c>
    </row>
    <row r="423" ht="15.75" customHeight="1">
      <c r="A423" s="55"/>
      <c r="B423" s="72"/>
      <c r="D423" s="72"/>
      <c r="E423" s="72"/>
      <c r="J423" s="27" t="s">
        <v>66</v>
      </c>
    </row>
    <row r="424" ht="15.75" customHeight="1">
      <c r="A424" s="55"/>
      <c r="B424" s="72"/>
      <c r="D424" s="72"/>
      <c r="E424" s="72"/>
      <c r="J424" s="27" t="s">
        <v>66</v>
      </c>
    </row>
    <row r="425" ht="15.75" customHeight="1">
      <c r="A425" s="55"/>
      <c r="B425" s="72"/>
      <c r="D425" s="72"/>
      <c r="E425" s="72"/>
      <c r="J425" s="27" t="s">
        <v>66</v>
      </c>
    </row>
    <row r="426" ht="15.75" customHeight="1">
      <c r="A426" s="55"/>
      <c r="B426" s="72"/>
      <c r="D426" s="72"/>
      <c r="E426" s="72"/>
      <c r="J426" s="27" t="s">
        <v>66</v>
      </c>
    </row>
    <row r="427" ht="15.75" customHeight="1">
      <c r="A427" s="55"/>
      <c r="B427" s="72"/>
      <c r="D427" s="72"/>
      <c r="E427" s="72"/>
      <c r="J427" s="27" t="s">
        <v>66</v>
      </c>
    </row>
    <row r="428" ht="15.75" customHeight="1">
      <c r="A428" s="55"/>
      <c r="B428" s="72"/>
      <c r="D428" s="72"/>
      <c r="E428" s="72"/>
      <c r="J428" s="27" t="s">
        <v>66</v>
      </c>
    </row>
    <row r="429" ht="15.75" customHeight="1">
      <c r="A429" s="55"/>
      <c r="B429" s="72"/>
      <c r="D429" s="72"/>
      <c r="E429" s="72"/>
      <c r="J429" s="27" t="s">
        <v>66</v>
      </c>
    </row>
    <row r="430" ht="15.75" customHeight="1">
      <c r="A430" s="55"/>
      <c r="B430" s="72"/>
      <c r="D430" s="72"/>
      <c r="E430" s="72"/>
      <c r="J430" s="27" t="s">
        <v>66</v>
      </c>
    </row>
    <row r="431" ht="15.75" customHeight="1">
      <c r="A431" s="55"/>
      <c r="B431" s="72"/>
      <c r="D431" s="72"/>
      <c r="E431" s="72"/>
      <c r="J431" s="27" t="s">
        <v>66</v>
      </c>
    </row>
    <row r="432" ht="15.75" customHeight="1">
      <c r="A432" s="55"/>
      <c r="B432" s="72"/>
      <c r="D432" s="72"/>
      <c r="E432" s="72"/>
      <c r="J432" s="27" t="s">
        <v>66</v>
      </c>
    </row>
    <row r="433" ht="15.75" customHeight="1">
      <c r="A433" s="55"/>
      <c r="B433" s="72"/>
      <c r="D433" s="72"/>
      <c r="E433" s="72"/>
      <c r="J433" s="27" t="s">
        <v>66</v>
      </c>
    </row>
    <row r="434" ht="15.75" customHeight="1">
      <c r="A434" s="55"/>
      <c r="B434" s="72"/>
      <c r="D434" s="72"/>
      <c r="E434" s="72"/>
      <c r="J434" s="27" t="s">
        <v>66</v>
      </c>
    </row>
    <row r="435" ht="15.75" customHeight="1">
      <c r="A435" s="55"/>
      <c r="B435" s="72"/>
      <c r="D435" s="72"/>
      <c r="E435" s="72"/>
      <c r="J435" s="27" t="s">
        <v>66</v>
      </c>
    </row>
    <row r="436" ht="15.75" customHeight="1">
      <c r="A436" s="55"/>
      <c r="B436" s="72"/>
      <c r="D436" s="72"/>
      <c r="E436" s="72"/>
      <c r="J436" s="27" t="s">
        <v>66</v>
      </c>
    </row>
    <row r="437" ht="15.75" customHeight="1">
      <c r="A437" s="55"/>
      <c r="B437" s="72"/>
      <c r="D437" s="72"/>
      <c r="E437" s="72"/>
      <c r="J437" s="27" t="s">
        <v>66</v>
      </c>
    </row>
    <row r="438" ht="15.75" customHeight="1">
      <c r="A438" s="55"/>
      <c r="B438" s="72"/>
      <c r="D438" s="72"/>
      <c r="E438" s="72"/>
      <c r="J438" s="27" t="s">
        <v>66</v>
      </c>
    </row>
    <row r="439" ht="15.75" customHeight="1">
      <c r="A439" s="55"/>
      <c r="B439" s="72"/>
      <c r="D439" s="72"/>
      <c r="E439" s="72"/>
      <c r="J439" s="27" t="s">
        <v>66</v>
      </c>
    </row>
    <row r="440" ht="15.75" customHeight="1">
      <c r="A440" s="55"/>
      <c r="B440" s="72"/>
      <c r="D440" s="72"/>
      <c r="E440" s="72"/>
      <c r="J440" s="27" t="s">
        <v>66</v>
      </c>
    </row>
    <row r="441" ht="15.75" customHeight="1">
      <c r="A441" s="55"/>
      <c r="B441" s="72"/>
      <c r="D441" s="72"/>
      <c r="E441" s="72"/>
      <c r="J441" s="27" t="s">
        <v>66</v>
      </c>
    </row>
    <row r="442" ht="15.75" customHeight="1">
      <c r="A442" s="55"/>
      <c r="B442" s="72"/>
      <c r="D442" s="72"/>
      <c r="E442" s="72"/>
      <c r="J442" s="27" t="s">
        <v>66</v>
      </c>
    </row>
    <row r="443" ht="15.75" customHeight="1">
      <c r="A443" s="55"/>
      <c r="B443" s="72"/>
      <c r="D443" s="72"/>
      <c r="E443" s="72"/>
      <c r="J443" s="27" t="s">
        <v>66</v>
      </c>
    </row>
    <row r="444" ht="15.75" customHeight="1">
      <c r="A444" s="55"/>
      <c r="B444" s="72"/>
      <c r="D444" s="72"/>
      <c r="E444" s="72"/>
      <c r="J444" s="27" t="s">
        <v>66</v>
      </c>
    </row>
    <row r="445" ht="15.75" customHeight="1">
      <c r="A445" s="55"/>
      <c r="B445" s="72"/>
      <c r="D445" s="72"/>
      <c r="E445" s="72"/>
      <c r="J445" s="27" t="s">
        <v>66</v>
      </c>
    </row>
    <row r="446" ht="15.75" customHeight="1">
      <c r="A446" s="55"/>
      <c r="B446" s="72"/>
      <c r="D446" s="72"/>
      <c r="E446" s="72"/>
      <c r="J446" s="27" t="s">
        <v>66</v>
      </c>
    </row>
    <row r="447" ht="15.75" customHeight="1">
      <c r="A447" s="55"/>
      <c r="B447" s="72"/>
      <c r="D447" s="72"/>
      <c r="E447" s="72"/>
      <c r="J447" s="27" t="s">
        <v>66</v>
      </c>
    </row>
    <row r="448" ht="15.75" customHeight="1">
      <c r="A448" s="55"/>
      <c r="B448" s="72"/>
      <c r="D448" s="72"/>
      <c r="E448" s="72"/>
      <c r="J448" s="27" t="s">
        <v>66</v>
      </c>
    </row>
    <row r="449" ht="15.75" customHeight="1">
      <c r="A449" s="55"/>
      <c r="B449" s="72"/>
      <c r="D449" s="72"/>
      <c r="E449" s="72"/>
      <c r="J449" s="27" t="s">
        <v>66</v>
      </c>
    </row>
    <row r="450" ht="15.75" customHeight="1">
      <c r="A450" s="55"/>
      <c r="B450" s="72"/>
      <c r="D450" s="72"/>
      <c r="E450" s="72"/>
      <c r="J450" s="27" t="s">
        <v>66</v>
      </c>
    </row>
    <row r="451" ht="15.75" customHeight="1">
      <c r="A451" s="55"/>
      <c r="B451" s="72"/>
      <c r="D451" s="72"/>
      <c r="E451" s="72"/>
      <c r="J451" s="27" t="s">
        <v>66</v>
      </c>
    </row>
    <row r="452" ht="15.75" customHeight="1">
      <c r="A452" s="55"/>
      <c r="B452" s="72"/>
      <c r="D452" s="72"/>
      <c r="E452" s="72"/>
      <c r="J452" s="27" t="s">
        <v>66</v>
      </c>
    </row>
    <row r="453" ht="15.75" customHeight="1">
      <c r="A453" s="55"/>
      <c r="B453" s="72"/>
      <c r="D453" s="72"/>
      <c r="E453" s="72"/>
      <c r="J453" s="27" t="s">
        <v>66</v>
      </c>
    </row>
    <row r="454" ht="15.75" customHeight="1">
      <c r="A454" s="55"/>
      <c r="B454" s="72"/>
      <c r="D454" s="72"/>
      <c r="E454" s="72"/>
      <c r="J454" s="27" t="s">
        <v>66</v>
      </c>
    </row>
    <row r="455" ht="15.75" customHeight="1">
      <c r="A455" s="55"/>
      <c r="B455" s="72"/>
      <c r="D455" s="72"/>
      <c r="E455" s="72"/>
      <c r="J455" s="27" t="s">
        <v>66</v>
      </c>
    </row>
    <row r="456" ht="15.75" customHeight="1">
      <c r="A456" s="55"/>
      <c r="B456" s="72"/>
      <c r="D456" s="72"/>
      <c r="E456" s="72"/>
      <c r="J456" s="27" t="s">
        <v>66</v>
      </c>
    </row>
    <row r="457" ht="15.75" customHeight="1">
      <c r="A457" s="55"/>
      <c r="B457" s="72"/>
      <c r="D457" s="72"/>
      <c r="E457" s="72"/>
      <c r="J457" s="27" t="s">
        <v>66</v>
      </c>
    </row>
    <row r="458" ht="15.75" customHeight="1">
      <c r="A458" s="55"/>
      <c r="B458" s="72"/>
      <c r="D458" s="72"/>
      <c r="E458" s="72"/>
      <c r="J458" s="27" t="s">
        <v>66</v>
      </c>
    </row>
    <row r="459" ht="15.75" customHeight="1">
      <c r="A459" s="55"/>
      <c r="B459" s="72"/>
      <c r="D459" s="72"/>
      <c r="E459" s="72"/>
      <c r="J459" s="27" t="s">
        <v>66</v>
      </c>
    </row>
    <row r="460" ht="15.75" customHeight="1">
      <c r="A460" s="55"/>
      <c r="B460" s="72"/>
      <c r="D460" s="72"/>
      <c r="E460" s="72"/>
      <c r="J460" s="27" t="s">
        <v>66</v>
      </c>
    </row>
    <row r="461" ht="15.75" customHeight="1">
      <c r="A461" s="55"/>
      <c r="B461" s="72"/>
      <c r="D461" s="72"/>
      <c r="E461" s="72"/>
      <c r="J461" s="27" t="s">
        <v>66</v>
      </c>
    </row>
    <row r="462" ht="15.75" customHeight="1">
      <c r="A462" s="55"/>
      <c r="B462" s="72"/>
      <c r="D462" s="72"/>
      <c r="E462" s="72"/>
      <c r="J462" s="27" t="s">
        <v>66</v>
      </c>
    </row>
    <row r="463" ht="15.75" customHeight="1">
      <c r="A463" s="55"/>
      <c r="B463" s="72"/>
      <c r="D463" s="72"/>
      <c r="E463" s="72"/>
      <c r="J463" s="27" t="s">
        <v>66</v>
      </c>
    </row>
    <row r="464" ht="15.75" customHeight="1">
      <c r="A464" s="55"/>
      <c r="B464" s="72"/>
      <c r="D464" s="72"/>
      <c r="E464" s="72"/>
      <c r="J464" s="27" t="s">
        <v>66</v>
      </c>
    </row>
    <row r="465" ht="15.75" customHeight="1">
      <c r="A465" s="55"/>
      <c r="B465" s="72"/>
      <c r="D465" s="72"/>
      <c r="E465" s="72"/>
      <c r="J465" s="27" t="s">
        <v>66</v>
      </c>
    </row>
    <row r="466" ht="15.75" customHeight="1">
      <c r="A466" s="55"/>
      <c r="B466" s="72"/>
      <c r="D466" s="72"/>
      <c r="E466" s="72"/>
      <c r="J466" s="27" t="s">
        <v>66</v>
      </c>
    </row>
    <row r="467" ht="15.75" customHeight="1">
      <c r="A467" s="55"/>
      <c r="B467" s="72"/>
      <c r="D467" s="72"/>
      <c r="E467" s="72"/>
      <c r="J467" s="27" t="s">
        <v>66</v>
      </c>
    </row>
    <row r="468" ht="15.75" customHeight="1">
      <c r="A468" s="55"/>
      <c r="B468" s="72"/>
      <c r="D468" s="72"/>
      <c r="E468" s="72"/>
      <c r="J468" s="27" t="s">
        <v>66</v>
      </c>
    </row>
    <row r="469" ht="15.75" customHeight="1">
      <c r="A469" s="55"/>
      <c r="B469" s="72"/>
      <c r="D469" s="72"/>
      <c r="E469" s="72"/>
      <c r="J469" s="27" t="s">
        <v>66</v>
      </c>
    </row>
    <row r="470" ht="15.75" customHeight="1">
      <c r="A470" s="55"/>
      <c r="B470" s="72"/>
      <c r="D470" s="72"/>
      <c r="E470" s="72"/>
      <c r="J470" s="27" t="s">
        <v>66</v>
      </c>
    </row>
    <row r="471" ht="15.75" customHeight="1">
      <c r="A471" s="55"/>
      <c r="B471" s="72"/>
      <c r="D471" s="72"/>
      <c r="E471" s="72"/>
      <c r="J471" s="27" t="s">
        <v>66</v>
      </c>
    </row>
    <row r="472" ht="15.75" customHeight="1">
      <c r="A472" s="55"/>
      <c r="B472" s="72"/>
      <c r="D472" s="72"/>
      <c r="E472" s="72"/>
      <c r="J472" s="27" t="s">
        <v>66</v>
      </c>
    </row>
    <row r="473" ht="15.75" customHeight="1">
      <c r="A473" s="55"/>
      <c r="B473" s="72"/>
      <c r="D473" s="72"/>
      <c r="E473" s="72"/>
      <c r="J473" s="27" t="s">
        <v>66</v>
      </c>
    </row>
    <row r="474" ht="15.75" customHeight="1">
      <c r="A474" s="55"/>
      <c r="B474" s="72"/>
      <c r="D474" s="72"/>
      <c r="E474" s="72"/>
      <c r="J474" s="27" t="s">
        <v>66</v>
      </c>
    </row>
    <row r="475" ht="15.75" customHeight="1">
      <c r="A475" s="55"/>
      <c r="B475" s="72"/>
      <c r="D475" s="72"/>
      <c r="E475" s="72"/>
      <c r="J475" s="27" t="s">
        <v>66</v>
      </c>
    </row>
    <row r="476" ht="15.75" customHeight="1">
      <c r="A476" s="55"/>
      <c r="B476" s="72"/>
      <c r="D476" s="72"/>
      <c r="E476" s="72"/>
      <c r="J476" s="27" t="s">
        <v>66</v>
      </c>
    </row>
    <row r="477" ht="15.75" customHeight="1">
      <c r="A477" s="55"/>
      <c r="B477" s="72"/>
      <c r="D477" s="72"/>
      <c r="E477" s="72"/>
      <c r="J477" s="27" t="s">
        <v>66</v>
      </c>
    </row>
    <row r="478" ht="15.75" customHeight="1">
      <c r="A478" s="55"/>
      <c r="B478" s="72"/>
      <c r="D478" s="72"/>
      <c r="E478" s="72"/>
      <c r="J478" s="27" t="s">
        <v>66</v>
      </c>
    </row>
    <row r="479" ht="15.75" customHeight="1">
      <c r="A479" s="55"/>
      <c r="B479" s="72"/>
      <c r="D479" s="72"/>
      <c r="E479" s="72"/>
      <c r="J479" s="27" t="s">
        <v>66</v>
      </c>
    </row>
    <row r="480" ht="15.75" customHeight="1">
      <c r="A480" s="55"/>
      <c r="B480" s="72"/>
      <c r="D480" s="72"/>
      <c r="E480" s="72"/>
      <c r="J480" s="27" t="s">
        <v>66</v>
      </c>
    </row>
    <row r="481" ht="15.75" customHeight="1">
      <c r="A481" s="55"/>
      <c r="B481" s="72"/>
      <c r="D481" s="72"/>
      <c r="E481" s="72"/>
      <c r="J481" s="27" t="s">
        <v>66</v>
      </c>
    </row>
    <row r="482" ht="15.75" customHeight="1">
      <c r="A482" s="55"/>
      <c r="B482" s="72"/>
      <c r="D482" s="72"/>
      <c r="E482" s="72"/>
      <c r="J482" s="27" t="s">
        <v>66</v>
      </c>
    </row>
    <row r="483" ht="15.75" customHeight="1">
      <c r="A483" s="55"/>
      <c r="B483" s="72"/>
      <c r="D483" s="72"/>
      <c r="E483" s="72"/>
      <c r="J483" s="27" t="s">
        <v>66</v>
      </c>
    </row>
    <row r="484" ht="15.75" customHeight="1">
      <c r="A484" s="55"/>
      <c r="B484" s="72"/>
      <c r="D484" s="72"/>
      <c r="E484" s="72"/>
      <c r="J484" s="27" t="s">
        <v>66</v>
      </c>
    </row>
    <row r="485" ht="15.75" customHeight="1">
      <c r="A485" s="55"/>
      <c r="B485" s="72"/>
      <c r="D485" s="72"/>
      <c r="E485" s="72"/>
      <c r="J485" s="27" t="s">
        <v>66</v>
      </c>
    </row>
    <row r="486" ht="15.75" customHeight="1">
      <c r="A486" s="55"/>
      <c r="B486" s="72"/>
      <c r="D486" s="72"/>
      <c r="E486" s="72"/>
      <c r="J486" s="27" t="s">
        <v>66</v>
      </c>
    </row>
    <row r="487" ht="15.75" customHeight="1">
      <c r="A487" s="55"/>
      <c r="B487" s="72"/>
      <c r="D487" s="72"/>
      <c r="E487" s="72"/>
      <c r="J487" s="27" t="s">
        <v>66</v>
      </c>
    </row>
    <row r="488" ht="15.75" customHeight="1">
      <c r="A488" s="55"/>
      <c r="B488" s="72"/>
      <c r="D488" s="72"/>
      <c r="E488" s="72"/>
      <c r="J488" s="27" t="s">
        <v>66</v>
      </c>
    </row>
    <row r="489" ht="15.75" customHeight="1">
      <c r="A489" s="55"/>
      <c r="B489" s="72"/>
      <c r="D489" s="72"/>
      <c r="E489" s="72"/>
      <c r="J489" s="27" t="s">
        <v>66</v>
      </c>
    </row>
    <row r="490" ht="15.75" customHeight="1">
      <c r="A490" s="55"/>
      <c r="B490" s="72"/>
      <c r="D490" s="72"/>
      <c r="E490" s="72"/>
      <c r="J490" s="27" t="s">
        <v>66</v>
      </c>
    </row>
    <row r="491" ht="15.75" customHeight="1">
      <c r="A491" s="55"/>
      <c r="B491" s="72"/>
      <c r="D491" s="72"/>
      <c r="E491" s="72"/>
      <c r="J491" s="27" t="s">
        <v>66</v>
      </c>
    </row>
    <row r="492" ht="15.75" customHeight="1">
      <c r="A492" s="55"/>
      <c r="B492" s="72"/>
      <c r="D492" s="72"/>
      <c r="E492" s="72"/>
      <c r="J492" s="27" t="s">
        <v>66</v>
      </c>
    </row>
    <row r="493" ht="15.75" customHeight="1">
      <c r="A493" s="55"/>
      <c r="B493" s="72"/>
      <c r="D493" s="72"/>
      <c r="E493" s="72"/>
      <c r="J493" s="27" t="s">
        <v>66</v>
      </c>
    </row>
    <row r="494" ht="15.75" customHeight="1">
      <c r="A494" s="55"/>
      <c r="B494" s="72"/>
      <c r="D494" s="72"/>
      <c r="E494" s="72"/>
      <c r="J494" s="27" t="s">
        <v>66</v>
      </c>
    </row>
    <row r="495" ht="15.75" customHeight="1">
      <c r="A495" s="55"/>
      <c r="B495" s="72"/>
      <c r="D495" s="72"/>
      <c r="E495" s="72"/>
      <c r="J495" s="27" t="s">
        <v>66</v>
      </c>
    </row>
    <row r="496" ht="15.75" customHeight="1">
      <c r="A496" s="55"/>
      <c r="B496" s="72"/>
      <c r="D496" s="72"/>
      <c r="E496" s="72"/>
      <c r="J496" s="27" t="s">
        <v>66</v>
      </c>
    </row>
    <row r="497" ht="15.75" customHeight="1">
      <c r="A497" s="55"/>
      <c r="B497" s="72"/>
      <c r="D497" s="72"/>
      <c r="E497" s="72"/>
      <c r="J497" s="27" t="s">
        <v>66</v>
      </c>
    </row>
    <row r="498" ht="15.75" customHeight="1">
      <c r="A498" s="55"/>
      <c r="B498" s="72"/>
      <c r="D498" s="72"/>
      <c r="E498" s="72"/>
      <c r="J498" s="27" t="s">
        <v>66</v>
      </c>
    </row>
    <row r="499" ht="15.75" customHeight="1">
      <c r="A499" s="55"/>
      <c r="B499" s="72"/>
      <c r="D499" s="72"/>
      <c r="E499" s="72"/>
      <c r="J499" s="27" t="s">
        <v>66</v>
      </c>
    </row>
    <row r="500" ht="15.75" customHeight="1">
      <c r="A500" s="55"/>
      <c r="B500" s="72"/>
      <c r="D500" s="72"/>
      <c r="E500" s="72"/>
      <c r="J500" s="27" t="s">
        <v>66</v>
      </c>
    </row>
    <row r="501" ht="15.75" customHeight="1">
      <c r="A501" s="55"/>
      <c r="B501" s="72"/>
      <c r="D501" s="72"/>
      <c r="E501" s="72"/>
      <c r="J501" s="27" t="s">
        <v>66</v>
      </c>
    </row>
    <row r="502" ht="15.75" customHeight="1">
      <c r="A502" s="55"/>
      <c r="B502" s="72"/>
      <c r="D502" s="72"/>
      <c r="E502" s="72"/>
      <c r="J502" s="27" t="s">
        <v>66</v>
      </c>
    </row>
    <row r="503" ht="15.75" customHeight="1">
      <c r="A503" s="55"/>
      <c r="B503" s="72"/>
      <c r="D503" s="72"/>
      <c r="E503" s="72"/>
      <c r="J503" s="27" t="s">
        <v>66</v>
      </c>
    </row>
    <row r="504" ht="15.75" customHeight="1">
      <c r="A504" s="55"/>
      <c r="B504" s="72"/>
      <c r="D504" s="72"/>
      <c r="E504" s="72"/>
      <c r="J504" s="27" t="s">
        <v>66</v>
      </c>
    </row>
    <row r="505" ht="15.75" customHeight="1">
      <c r="A505" s="55"/>
      <c r="B505" s="72"/>
      <c r="D505" s="72"/>
      <c r="E505" s="72"/>
      <c r="J505" s="27" t="s">
        <v>66</v>
      </c>
    </row>
    <row r="506" ht="15.75" customHeight="1">
      <c r="A506" s="55"/>
      <c r="B506" s="72"/>
      <c r="D506" s="72"/>
      <c r="E506" s="72"/>
      <c r="J506" s="27" t="s">
        <v>66</v>
      </c>
    </row>
    <row r="507" ht="15.75" customHeight="1">
      <c r="A507" s="55"/>
      <c r="B507" s="72"/>
      <c r="D507" s="72"/>
      <c r="E507" s="72"/>
      <c r="J507" s="27" t="s">
        <v>66</v>
      </c>
    </row>
    <row r="508" ht="15.75" customHeight="1">
      <c r="A508" s="55"/>
      <c r="B508" s="72"/>
      <c r="D508" s="72"/>
      <c r="E508" s="72"/>
      <c r="J508" s="27" t="s">
        <v>66</v>
      </c>
    </row>
    <row r="509" ht="15.75" customHeight="1">
      <c r="A509" s="55"/>
      <c r="B509" s="72"/>
      <c r="D509" s="72"/>
      <c r="E509" s="72"/>
      <c r="J509" s="27" t="s">
        <v>66</v>
      </c>
    </row>
    <row r="510" ht="15.75" customHeight="1">
      <c r="A510" s="55"/>
      <c r="B510" s="72"/>
      <c r="D510" s="72"/>
      <c r="E510" s="72"/>
      <c r="J510" s="27" t="s">
        <v>66</v>
      </c>
    </row>
    <row r="511" ht="15.75" customHeight="1">
      <c r="A511" s="55"/>
      <c r="B511" s="72"/>
      <c r="D511" s="72"/>
      <c r="E511" s="72"/>
      <c r="J511" s="27" t="s">
        <v>66</v>
      </c>
    </row>
    <row r="512" ht="15.75" customHeight="1">
      <c r="A512" s="55"/>
      <c r="B512" s="72"/>
      <c r="D512" s="72"/>
      <c r="E512" s="72"/>
      <c r="J512" s="27" t="s">
        <v>66</v>
      </c>
    </row>
    <row r="513" ht="15.75" customHeight="1">
      <c r="A513" s="55"/>
      <c r="B513" s="72"/>
      <c r="D513" s="72"/>
      <c r="E513" s="72"/>
      <c r="J513" s="27" t="s">
        <v>66</v>
      </c>
    </row>
    <row r="514" ht="15.75" customHeight="1">
      <c r="A514" s="55"/>
      <c r="B514" s="72"/>
      <c r="D514" s="72"/>
      <c r="E514" s="72"/>
      <c r="J514" s="27" t="s">
        <v>66</v>
      </c>
    </row>
    <row r="515" ht="15.75" customHeight="1">
      <c r="A515" s="55"/>
      <c r="B515" s="72"/>
      <c r="D515" s="72"/>
      <c r="E515" s="72"/>
      <c r="J515" s="27" t="s">
        <v>66</v>
      </c>
    </row>
    <row r="516" ht="15.75" customHeight="1">
      <c r="A516" s="55"/>
      <c r="B516" s="72"/>
      <c r="D516" s="72"/>
      <c r="E516" s="72"/>
      <c r="J516" s="27" t="s">
        <v>66</v>
      </c>
    </row>
    <row r="517" ht="15.75" customHeight="1">
      <c r="A517" s="55"/>
      <c r="B517" s="72"/>
      <c r="D517" s="72"/>
      <c r="E517" s="72"/>
      <c r="J517" s="27" t="s">
        <v>66</v>
      </c>
    </row>
    <row r="518" ht="15.75" customHeight="1">
      <c r="A518" s="55"/>
      <c r="B518" s="72"/>
      <c r="D518" s="72"/>
      <c r="E518" s="72"/>
      <c r="J518" s="27" t="s">
        <v>66</v>
      </c>
    </row>
    <row r="519" ht="15.75" customHeight="1">
      <c r="A519" s="55"/>
      <c r="B519" s="72"/>
      <c r="D519" s="72"/>
      <c r="E519" s="72"/>
      <c r="J519" s="27" t="s">
        <v>66</v>
      </c>
    </row>
    <row r="520" ht="15.75" customHeight="1">
      <c r="A520" s="55"/>
      <c r="B520" s="72"/>
      <c r="D520" s="72"/>
      <c r="E520" s="72"/>
      <c r="J520" s="27" t="s">
        <v>66</v>
      </c>
    </row>
    <row r="521" ht="15.75" customHeight="1">
      <c r="A521" s="55"/>
      <c r="B521" s="72"/>
      <c r="D521" s="72"/>
      <c r="E521" s="72"/>
      <c r="J521" s="27" t="s">
        <v>66</v>
      </c>
    </row>
    <row r="522" ht="15.75" customHeight="1">
      <c r="A522" s="55"/>
      <c r="B522" s="72"/>
      <c r="D522" s="72"/>
      <c r="E522" s="72"/>
      <c r="J522" s="27" t="s">
        <v>66</v>
      </c>
    </row>
    <row r="523" ht="15.75" customHeight="1">
      <c r="A523" s="55"/>
      <c r="B523" s="72"/>
      <c r="D523" s="72"/>
      <c r="E523" s="72"/>
      <c r="J523" s="27" t="s">
        <v>66</v>
      </c>
    </row>
    <row r="524" ht="15.75" customHeight="1">
      <c r="A524" s="55"/>
      <c r="B524" s="72"/>
      <c r="D524" s="72"/>
      <c r="E524" s="72"/>
      <c r="J524" s="27" t="s">
        <v>66</v>
      </c>
    </row>
    <row r="525" ht="15.75" customHeight="1">
      <c r="A525" s="55"/>
      <c r="B525" s="72"/>
      <c r="D525" s="72"/>
      <c r="E525" s="72"/>
      <c r="J525" s="27" t="s">
        <v>66</v>
      </c>
    </row>
    <row r="526" ht="15.75" customHeight="1">
      <c r="A526" s="55"/>
      <c r="B526" s="72"/>
      <c r="D526" s="72"/>
      <c r="E526" s="72"/>
      <c r="J526" s="27" t="s">
        <v>66</v>
      </c>
    </row>
    <row r="527" ht="15.75" customHeight="1">
      <c r="A527" s="55"/>
      <c r="B527" s="72"/>
      <c r="D527" s="72"/>
      <c r="E527" s="72"/>
      <c r="J527" s="27" t="s">
        <v>66</v>
      </c>
    </row>
    <row r="528" ht="15.75" customHeight="1">
      <c r="A528" s="55"/>
      <c r="B528" s="72"/>
      <c r="D528" s="72"/>
      <c r="E528" s="72"/>
      <c r="J528" s="27" t="s">
        <v>66</v>
      </c>
    </row>
    <row r="529" ht="15.75" customHeight="1">
      <c r="A529" s="55"/>
      <c r="B529" s="72"/>
      <c r="D529" s="72"/>
      <c r="E529" s="72"/>
      <c r="J529" s="27" t="s">
        <v>66</v>
      </c>
    </row>
    <row r="530" ht="15.75" customHeight="1">
      <c r="A530" s="55"/>
      <c r="B530" s="72"/>
      <c r="D530" s="72"/>
      <c r="E530" s="72"/>
      <c r="J530" s="27" t="s">
        <v>66</v>
      </c>
    </row>
    <row r="531" ht="15.75" customHeight="1">
      <c r="A531" s="55"/>
      <c r="B531" s="72"/>
      <c r="D531" s="72"/>
      <c r="E531" s="72"/>
      <c r="J531" s="27" t="s">
        <v>66</v>
      </c>
    </row>
    <row r="532" ht="15.75" customHeight="1">
      <c r="A532" s="55"/>
      <c r="B532" s="72"/>
      <c r="D532" s="72"/>
      <c r="E532" s="72"/>
      <c r="J532" s="27" t="s">
        <v>66</v>
      </c>
    </row>
    <row r="533" ht="15.75" customHeight="1">
      <c r="A533" s="55"/>
      <c r="B533" s="72"/>
      <c r="D533" s="72"/>
      <c r="E533" s="72"/>
      <c r="J533" s="27" t="s">
        <v>66</v>
      </c>
    </row>
    <row r="534" ht="15.75" customHeight="1">
      <c r="A534" s="55"/>
      <c r="B534" s="72"/>
      <c r="D534" s="72"/>
      <c r="E534" s="72"/>
      <c r="J534" s="27" t="s">
        <v>66</v>
      </c>
    </row>
    <row r="535" ht="15.75" customHeight="1">
      <c r="A535" s="55"/>
      <c r="B535" s="72"/>
      <c r="D535" s="72"/>
      <c r="E535" s="72"/>
      <c r="J535" s="27" t="s">
        <v>66</v>
      </c>
    </row>
    <row r="536" ht="15.75" customHeight="1">
      <c r="A536" s="55"/>
      <c r="B536" s="72"/>
      <c r="D536" s="72"/>
      <c r="E536" s="72"/>
      <c r="J536" s="27" t="s">
        <v>66</v>
      </c>
    </row>
    <row r="537" ht="15.75" customHeight="1">
      <c r="A537" s="55"/>
      <c r="B537" s="72"/>
      <c r="D537" s="72"/>
      <c r="E537" s="72"/>
      <c r="J537" s="27" t="s">
        <v>66</v>
      </c>
    </row>
    <row r="538" ht="15.75" customHeight="1">
      <c r="A538" s="55"/>
      <c r="B538" s="72"/>
      <c r="D538" s="72"/>
      <c r="E538" s="72"/>
      <c r="J538" s="27" t="s">
        <v>66</v>
      </c>
    </row>
    <row r="539" ht="15.75" customHeight="1">
      <c r="A539" s="55"/>
      <c r="B539" s="72"/>
      <c r="D539" s="72"/>
      <c r="E539" s="72"/>
      <c r="J539" s="27" t="s">
        <v>66</v>
      </c>
    </row>
    <row r="540" ht="15.75" customHeight="1">
      <c r="A540" s="55"/>
      <c r="B540" s="72"/>
      <c r="D540" s="72"/>
      <c r="E540" s="72"/>
      <c r="J540" s="27" t="s">
        <v>66</v>
      </c>
    </row>
    <row r="541" ht="15.75" customHeight="1">
      <c r="A541" s="55"/>
      <c r="B541" s="72"/>
      <c r="D541" s="72"/>
      <c r="E541" s="72"/>
      <c r="J541" s="27" t="s">
        <v>66</v>
      </c>
    </row>
    <row r="542" ht="15.75" customHeight="1">
      <c r="A542" s="55"/>
      <c r="B542" s="72"/>
      <c r="D542" s="72"/>
      <c r="E542" s="72"/>
      <c r="J542" s="27" t="s">
        <v>66</v>
      </c>
    </row>
    <row r="543" ht="15.75" customHeight="1">
      <c r="A543" s="55"/>
      <c r="B543" s="72"/>
      <c r="D543" s="72"/>
      <c r="E543" s="72"/>
      <c r="J543" s="27" t="s">
        <v>66</v>
      </c>
    </row>
    <row r="544" ht="15.75" customHeight="1">
      <c r="A544" s="55"/>
      <c r="B544" s="72"/>
      <c r="D544" s="72"/>
      <c r="E544" s="72"/>
      <c r="J544" s="27" t="s">
        <v>66</v>
      </c>
    </row>
    <row r="545" ht="15.75" customHeight="1">
      <c r="A545" s="55"/>
      <c r="B545" s="72"/>
      <c r="D545" s="72"/>
      <c r="E545" s="72"/>
      <c r="J545" s="27" t="s">
        <v>66</v>
      </c>
    </row>
    <row r="546" ht="15.75" customHeight="1">
      <c r="A546" s="55"/>
      <c r="B546" s="72"/>
      <c r="D546" s="72"/>
      <c r="E546" s="72"/>
      <c r="J546" s="27" t="s">
        <v>66</v>
      </c>
    </row>
    <row r="547" ht="15.75" customHeight="1">
      <c r="A547" s="55"/>
      <c r="B547" s="72"/>
      <c r="D547" s="72"/>
      <c r="E547" s="72"/>
      <c r="J547" s="27" t="s">
        <v>66</v>
      </c>
    </row>
    <row r="548" ht="15.75" customHeight="1">
      <c r="A548" s="55"/>
      <c r="B548" s="72"/>
      <c r="D548" s="72"/>
      <c r="E548" s="72"/>
      <c r="J548" s="27" t="s">
        <v>66</v>
      </c>
    </row>
    <row r="549" ht="15.75" customHeight="1">
      <c r="A549" s="55"/>
      <c r="B549" s="72"/>
      <c r="D549" s="72"/>
      <c r="E549" s="72"/>
      <c r="J549" s="27" t="s">
        <v>66</v>
      </c>
    </row>
    <row r="550" ht="15.75" customHeight="1">
      <c r="A550" s="55"/>
      <c r="B550" s="72"/>
      <c r="D550" s="72"/>
      <c r="E550" s="72"/>
      <c r="J550" s="27" t="s">
        <v>66</v>
      </c>
    </row>
    <row r="551" ht="15.75" customHeight="1">
      <c r="A551" s="55"/>
      <c r="B551" s="72"/>
      <c r="D551" s="72"/>
      <c r="E551" s="72"/>
      <c r="J551" s="27" t="s">
        <v>66</v>
      </c>
    </row>
    <row r="552" ht="15.75" customHeight="1">
      <c r="A552" s="55"/>
      <c r="B552" s="72"/>
      <c r="D552" s="72"/>
      <c r="E552" s="72"/>
      <c r="J552" s="27" t="s">
        <v>66</v>
      </c>
    </row>
    <row r="553" ht="15.75" customHeight="1">
      <c r="A553" s="55"/>
      <c r="B553" s="72"/>
      <c r="D553" s="72"/>
      <c r="E553" s="72"/>
      <c r="J553" s="27" t="s">
        <v>66</v>
      </c>
    </row>
    <row r="554" ht="15.75" customHeight="1">
      <c r="A554" s="55"/>
      <c r="B554" s="72"/>
      <c r="D554" s="72"/>
      <c r="E554" s="72"/>
      <c r="J554" s="27" t="s">
        <v>66</v>
      </c>
    </row>
    <row r="555" ht="15.75" customHeight="1">
      <c r="A555" s="55"/>
      <c r="B555" s="72"/>
      <c r="D555" s="72"/>
      <c r="E555" s="72"/>
      <c r="J555" s="27" t="s">
        <v>66</v>
      </c>
    </row>
    <row r="556" ht="15.75" customHeight="1">
      <c r="A556" s="55"/>
      <c r="B556" s="72"/>
      <c r="D556" s="72"/>
      <c r="E556" s="72"/>
      <c r="J556" s="27" t="s">
        <v>66</v>
      </c>
    </row>
    <row r="557" ht="15.75" customHeight="1">
      <c r="A557" s="55"/>
      <c r="B557" s="72"/>
      <c r="D557" s="72"/>
      <c r="E557" s="72"/>
      <c r="J557" s="27" t="s">
        <v>66</v>
      </c>
    </row>
    <row r="558" ht="15.75" customHeight="1">
      <c r="A558" s="55"/>
      <c r="B558" s="72"/>
      <c r="D558" s="72"/>
      <c r="E558" s="72"/>
      <c r="J558" s="27" t="s">
        <v>66</v>
      </c>
    </row>
    <row r="559" ht="15.75" customHeight="1">
      <c r="A559" s="55"/>
      <c r="B559" s="72"/>
      <c r="D559" s="72"/>
      <c r="E559" s="72"/>
      <c r="J559" s="27" t="s">
        <v>66</v>
      </c>
    </row>
    <row r="560" ht="15.75" customHeight="1">
      <c r="A560" s="55"/>
      <c r="B560" s="72"/>
      <c r="D560" s="72"/>
      <c r="E560" s="72"/>
      <c r="J560" s="27" t="s">
        <v>66</v>
      </c>
    </row>
    <row r="561" ht="15.75" customHeight="1">
      <c r="A561" s="55"/>
      <c r="B561" s="72"/>
      <c r="D561" s="72"/>
      <c r="E561" s="72"/>
      <c r="J561" s="27" t="s">
        <v>66</v>
      </c>
    </row>
    <row r="562" ht="15.75" customHeight="1">
      <c r="A562" s="55"/>
      <c r="B562" s="72"/>
      <c r="D562" s="72"/>
      <c r="E562" s="72"/>
      <c r="J562" s="27" t="s">
        <v>66</v>
      </c>
    </row>
    <row r="563" ht="15.75" customHeight="1">
      <c r="A563" s="55"/>
      <c r="B563" s="72"/>
      <c r="D563" s="72"/>
      <c r="E563" s="72"/>
      <c r="J563" s="27" t="s">
        <v>66</v>
      </c>
    </row>
    <row r="564" ht="15.75" customHeight="1">
      <c r="A564" s="55"/>
      <c r="B564" s="72"/>
      <c r="D564" s="72"/>
      <c r="E564" s="72"/>
      <c r="J564" s="27" t="s">
        <v>66</v>
      </c>
    </row>
    <row r="565" ht="15.75" customHeight="1">
      <c r="A565" s="55"/>
      <c r="B565" s="72"/>
      <c r="D565" s="72"/>
      <c r="E565" s="72"/>
      <c r="J565" s="27" t="s">
        <v>66</v>
      </c>
    </row>
    <row r="566" ht="15.75" customHeight="1">
      <c r="A566" s="55"/>
      <c r="B566" s="72"/>
      <c r="D566" s="72"/>
      <c r="E566" s="72"/>
      <c r="J566" s="27" t="s">
        <v>66</v>
      </c>
    </row>
    <row r="567" ht="15.75" customHeight="1">
      <c r="A567" s="55"/>
      <c r="B567" s="72"/>
      <c r="D567" s="72"/>
      <c r="E567" s="72"/>
      <c r="J567" s="27" t="s">
        <v>66</v>
      </c>
    </row>
    <row r="568" ht="15.75" customHeight="1">
      <c r="A568" s="55"/>
      <c r="B568" s="72"/>
      <c r="D568" s="72"/>
      <c r="E568" s="72"/>
      <c r="J568" s="27" t="s">
        <v>66</v>
      </c>
    </row>
    <row r="569" ht="15.75" customHeight="1">
      <c r="A569" s="55"/>
      <c r="B569" s="72"/>
      <c r="D569" s="72"/>
      <c r="E569" s="72"/>
      <c r="J569" s="27" t="s">
        <v>66</v>
      </c>
    </row>
    <row r="570" ht="15.75" customHeight="1">
      <c r="A570" s="55"/>
      <c r="B570" s="72"/>
      <c r="D570" s="72"/>
      <c r="E570" s="72"/>
      <c r="J570" s="27" t="s">
        <v>66</v>
      </c>
    </row>
    <row r="571" ht="15.75" customHeight="1">
      <c r="A571" s="55"/>
      <c r="B571" s="72"/>
      <c r="D571" s="72"/>
      <c r="E571" s="72"/>
      <c r="J571" s="27" t="s">
        <v>66</v>
      </c>
    </row>
    <row r="572" ht="15.75" customHeight="1">
      <c r="A572" s="55"/>
      <c r="B572" s="72"/>
      <c r="D572" s="72"/>
      <c r="E572" s="72"/>
      <c r="J572" s="27" t="s">
        <v>66</v>
      </c>
    </row>
    <row r="573" ht="15.75" customHeight="1">
      <c r="A573" s="55"/>
      <c r="B573" s="72"/>
      <c r="D573" s="72"/>
      <c r="E573" s="72"/>
      <c r="J573" s="27" t="s">
        <v>66</v>
      </c>
    </row>
    <row r="574" ht="15.75" customHeight="1">
      <c r="A574" s="55"/>
      <c r="B574" s="72"/>
      <c r="D574" s="72"/>
      <c r="E574" s="72"/>
      <c r="J574" s="27" t="s">
        <v>66</v>
      </c>
    </row>
    <row r="575" ht="15.75" customHeight="1">
      <c r="A575" s="55"/>
      <c r="B575" s="72"/>
      <c r="D575" s="72"/>
      <c r="E575" s="72"/>
      <c r="J575" s="27" t="s">
        <v>66</v>
      </c>
    </row>
    <row r="576" ht="15.75" customHeight="1">
      <c r="A576" s="55"/>
      <c r="B576" s="72"/>
      <c r="D576" s="72"/>
      <c r="E576" s="72"/>
      <c r="J576" s="27" t="s">
        <v>66</v>
      </c>
    </row>
    <row r="577" ht="15.75" customHeight="1">
      <c r="A577" s="55"/>
      <c r="B577" s="72"/>
      <c r="D577" s="72"/>
      <c r="E577" s="72"/>
      <c r="J577" s="27" t="s">
        <v>66</v>
      </c>
    </row>
    <row r="578" ht="15.75" customHeight="1">
      <c r="A578" s="55"/>
      <c r="B578" s="72"/>
      <c r="D578" s="72"/>
      <c r="E578" s="72"/>
      <c r="J578" s="27" t="s">
        <v>66</v>
      </c>
    </row>
    <row r="579" ht="15.75" customHeight="1">
      <c r="A579" s="55"/>
      <c r="B579" s="72"/>
      <c r="D579" s="72"/>
      <c r="E579" s="72"/>
      <c r="J579" s="27" t="s">
        <v>66</v>
      </c>
    </row>
    <row r="580" ht="15.75" customHeight="1">
      <c r="A580" s="55"/>
      <c r="B580" s="72"/>
      <c r="D580" s="72"/>
      <c r="E580" s="72"/>
      <c r="J580" s="27" t="s">
        <v>66</v>
      </c>
    </row>
    <row r="581" ht="15.75" customHeight="1">
      <c r="A581" s="55"/>
      <c r="B581" s="72"/>
      <c r="D581" s="72"/>
      <c r="E581" s="72"/>
      <c r="J581" s="27" t="s">
        <v>66</v>
      </c>
    </row>
    <row r="582" ht="15.75" customHeight="1">
      <c r="A582" s="55"/>
      <c r="B582" s="72"/>
      <c r="D582" s="72"/>
      <c r="E582" s="72"/>
      <c r="J582" s="27" t="s">
        <v>66</v>
      </c>
    </row>
    <row r="583" ht="15.75" customHeight="1">
      <c r="A583" s="55"/>
      <c r="B583" s="72"/>
      <c r="D583" s="72"/>
      <c r="E583" s="72"/>
      <c r="J583" s="27" t="s">
        <v>66</v>
      </c>
    </row>
    <row r="584" ht="15.75" customHeight="1">
      <c r="A584" s="55"/>
      <c r="B584" s="72"/>
      <c r="D584" s="72"/>
      <c r="E584" s="72"/>
      <c r="J584" s="27" t="s">
        <v>66</v>
      </c>
    </row>
    <row r="585" ht="15.75" customHeight="1">
      <c r="A585" s="55"/>
      <c r="B585" s="72"/>
      <c r="D585" s="72"/>
      <c r="E585" s="72"/>
      <c r="J585" s="27" t="s">
        <v>66</v>
      </c>
    </row>
    <row r="586" ht="15.75" customHeight="1">
      <c r="A586" s="55"/>
      <c r="B586" s="72"/>
      <c r="D586" s="72"/>
      <c r="E586" s="72"/>
      <c r="J586" s="27" t="s">
        <v>66</v>
      </c>
    </row>
    <row r="587" ht="15.75" customHeight="1">
      <c r="A587" s="55"/>
      <c r="B587" s="72"/>
      <c r="D587" s="72"/>
      <c r="E587" s="72"/>
      <c r="J587" s="27" t="s">
        <v>66</v>
      </c>
    </row>
    <row r="588" ht="15.75" customHeight="1">
      <c r="A588" s="55"/>
      <c r="B588" s="72"/>
      <c r="D588" s="72"/>
      <c r="E588" s="72"/>
      <c r="J588" s="27" t="s">
        <v>66</v>
      </c>
    </row>
    <row r="589" ht="15.75" customHeight="1">
      <c r="A589" s="55"/>
      <c r="B589" s="72"/>
      <c r="D589" s="72"/>
      <c r="E589" s="72"/>
      <c r="J589" s="27" t="s">
        <v>66</v>
      </c>
    </row>
    <row r="590" ht="15.75" customHeight="1">
      <c r="A590" s="55"/>
      <c r="B590" s="72"/>
      <c r="D590" s="72"/>
      <c r="E590" s="72"/>
      <c r="J590" s="27" t="s">
        <v>66</v>
      </c>
    </row>
    <row r="591" ht="15.75" customHeight="1">
      <c r="A591" s="55"/>
      <c r="B591" s="72"/>
      <c r="D591" s="72"/>
      <c r="E591" s="72"/>
      <c r="J591" s="27" t="s">
        <v>66</v>
      </c>
    </row>
    <row r="592" ht="15.75" customHeight="1">
      <c r="A592" s="55"/>
      <c r="B592" s="72"/>
      <c r="D592" s="72"/>
      <c r="E592" s="72"/>
      <c r="J592" s="27" t="s">
        <v>66</v>
      </c>
    </row>
    <row r="593" ht="15.75" customHeight="1">
      <c r="A593" s="55"/>
      <c r="B593" s="72"/>
      <c r="D593" s="72"/>
      <c r="E593" s="72"/>
      <c r="J593" s="27" t="s">
        <v>66</v>
      </c>
    </row>
    <row r="594" ht="15.75" customHeight="1">
      <c r="A594" s="55"/>
      <c r="B594" s="72"/>
      <c r="D594" s="72"/>
      <c r="E594" s="72"/>
      <c r="J594" s="27" t="s">
        <v>66</v>
      </c>
    </row>
    <row r="595" ht="15.75" customHeight="1">
      <c r="A595" s="55"/>
      <c r="B595" s="72"/>
      <c r="D595" s="72"/>
      <c r="E595" s="72"/>
      <c r="J595" s="27" t="s">
        <v>66</v>
      </c>
    </row>
    <row r="596" ht="15.75" customHeight="1">
      <c r="A596" s="55"/>
      <c r="B596" s="72"/>
      <c r="D596" s="72"/>
      <c r="E596" s="72"/>
      <c r="J596" s="27" t="s">
        <v>66</v>
      </c>
    </row>
    <row r="597" ht="15.75" customHeight="1">
      <c r="A597" s="55"/>
      <c r="B597" s="72"/>
      <c r="D597" s="72"/>
      <c r="E597" s="72"/>
      <c r="J597" s="27" t="s">
        <v>66</v>
      </c>
    </row>
    <row r="598" ht="15.75" customHeight="1">
      <c r="A598" s="55"/>
      <c r="B598" s="72"/>
      <c r="D598" s="72"/>
      <c r="E598" s="72"/>
      <c r="J598" s="27" t="s">
        <v>66</v>
      </c>
    </row>
    <row r="599" ht="15.75" customHeight="1">
      <c r="A599" s="55"/>
      <c r="B599" s="72"/>
      <c r="D599" s="72"/>
      <c r="E599" s="72"/>
      <c r="J599" s="27" t="s">
        <v>66</v>
      </c>
    </row>
    <row r="600" ht="15.75" customHeight="1">
      <c r="A600" s="55"/>
      <c r="B600" s="72"/>
      <c r="D600" s="72"/>
      <c r="E600" s="72"/>
      <c r="J600" s="27" t="s">
        <v>66</v>
      </c>
    </row>
    <row r="601" ht="15.75" customHeight="1">
      <c r="A601" s="55"/>
      <c r="B601" s="72"/>
      <c r="D601" s="72"/>
      <c r="E601" s="72"/>
      <c r="J601" s="27" t="s">
        <v>66</v>
      </c>
    </row>
    <row r="602" ht="15.75" customHeight="1">
      <c r="A602" s="55"/>
      <c r="B602" s="72"/>
      <c r="D602" s="72"/>
      <c r="E602" s="72"/>
      <c r="J602" s="27" t="s">
        <v>66</v>
      </c>
    </row>
    <row r="603" ht="15.75" customHeight="1">
      <c r="A603" s="55"/>
      <c r="B603" s="72"/>
      <c r="D603" s="72"/>
      <c r="E603" s="72"/>
      <c r="J603" s="27" t="s">
        <v>66</v>
      </c>
    </row>
    <row r="604" ht="15.75" customHeight="1">
      <c r="A604" s="55"/>
      <c r="B604" s="72"/>
      <c r="D604" s="72"/>
      <c r="E604" s="72"/>
      <c r="J604" s="27" t="s">
        <v>66</v>
      </c>
    </row>
    <row r="605" ht="15.75" customHeight="1">
      <c r="A605" s="55"/>
      <c r="B605" s="72"/>
      <c r="D605" s="72"/>
      <c r="E605" s="72"/>
      <c r="J605" s="27" t="s">
        <v>66</v>
      </c>
    </row>
    <row r="606" ht="15.75" customHeight="1">
      <c r="A606" s="55"/>
      <c r="B606" s="72"/>
      <c r="D606" s="72"/>
      <c r="E606" s="72"/>
      <c r="J606" s="27" t="s">
        <v>66</v>
      </c>
    </row>
    <row r="607" ht="15.75" customHeight="1">
      <c r="A607" s="55"/>
      <c r="B607" s="72"/>
      <c r="D607" s="72"/>
      <c r="E607" s="72"/>
      <c r="J607" s="27" t="s">
        <v>66</v>
      </c>
    </row>
    <row r="608" ht="15.75" customHeight="1">
      <c r="A608" s="55"/>
      <c r="B608" s="72"/>
      <c r="D608" s="72"/>
      <c r="E608" s="72"/>
      <c r="J608" s="27" t="s">
        <v>66</v>
      </c>
    </row>
    <row r="609" ht="15.75" customHeight="1">
      <c r="A609" s="55"/>
      <c r="B609" s="72"/>
      <c r="D609" s="72"/>
      <c r="E609" s="72"/>
      <c r="J609" s="27" t="s">
        <v>66</v>
      </c>
    </row>
    <row r="610" ht="15.75" customHeight="1">
      <c r="A610" s="55"/>
      <c r="B610" s="72"/>
      <c r="D610" s="72"/>
      <c r="E610" s="72"/>
      <c r="J610" s="27" t="s">
        <v>66</v>
      </c>
    </row>
    <row r="611" ht="15.75" customHeight="1">
      <c r="A611" s="55"/>
      <c r="B611" s="72"/>
      <c r="D611" s="72"/>
      <c r="E611" s="72"/>
      <c r="J611" s="27" t="s">
        <v>66</v>
      </c>
    </row>
    <row r="612" ht="15.75" customHeight="1">
      <c r="A612" s="55"/>
      <c r="B612" s="72"/>
      <c r="D612" s="72"/>
      <c r="E612" s="72"/>
      <c r="J612" s="27" t="s">
        <v>66</v>
      </c>
    </row>
    <row r="613" ht="15.75" customHeight="1">
      <c r="A613" s="55"/>
      <c r="B613" s="72"/>
      <c r="D613" s="72"/>
      <c r="E613" s="72"/>
      <c r="J613" s="27" t="s">
        <v>66</v>
      </c>
    </row>
    <row r="614" ht="15.75" customHeight="1">
      <c r="A614" s="55"/>
      <c r="B614" s="72"/>
      <c r="D614" s="72"/>
      <c r="E614" s="72"/>
      <c r="J614" s="27" t="s">
        <v>66</v>
      </c>
    </row>
    <row r="615" ht="15.75" customHeight="1">
      <c r="A615" s="55"/>
      <c r="B615" s="72"/>
      <c r="D615" s="72"/>
      <c r="E615" s="72"/>
      <c r="J615" s="27" t="s">
        <v>66</v>
      </c>
    </row>
    <row r="616" ht="15.75" customHeight="1">
      <c r="A616" s="55"/>
      <c r="B616" s="72"/>
      <c r="D616" s="72"/>
      <c r="E616" s="72"/>
      <c r="J616" s="27" t="s">
        <v>66</v>
      </c>
    </row>
    <row r="617" ht="15.75" customHeight="1">
      <c r="A617" s="55"/>
      <c r="B617" s="72"/>
      <c r="D617" s="72"/>
      <c r="E617" s="72"/>
      <c r="J617" s="27" t="s">
        <v>66</v>
      </c>
    </row>
    <row r="618" ht="15.75" customHeight="1">
      <c r="A618" s="55"/>
      <c r="B618" s="72"/>
      <c r="D618" s="72"/>
      <c r="E618" s="72"/>
      <c r="J618" s="27" t="s">
        <v>66</v>
      </c>
    </row>
    <row r="619" ht="15.75" customHeight="1">
      <c r="A619" s="55"/>
      <c r="B619" s="72"/>
      <c r="D619" s="72"/>
      <c r="E619" s="72"/>
      <c r="J619" s="27" t="s">
        <v>66</v>
      </c>
    </row>
    <row r="620" ht="15.75" customHeight="1">
      <c r="A620" s="55"/>
      <c r="B620" s="72"/>
      <c r="D620" s="72"/>
      <c r="E620" s="72"/>
      <c r="J620" s="27" t="s">
        <v>66</v>
      </c>
    </row>
    <row r="621" ht="15.75" customHeight="1">
      <c r="A621" s="55"/>
      <c r="B621" s="72"/>
      <c r="D621" s="72"/>
      <c r="E621" s="72"/>
      <c r="J621" s="27" t="s">
        <v>66</v>
      </c>
    </row>
    <row r="622" ht="15.75" customHeight="1">
      <c r="A622" s="55"/>
      <c r="B622" s="72"/>
      <c r="D622" s="72"/>
      <c r="E622" s="72"/>
      <c r="J622" s="27" t="s">
        <v>66</v>
      </c>
    </row>
    <row r="623" ht="15.75" customHeight="1">
      <c r="A623" s="55"/>
      <c r="B623" s="72"/>
      <c r="D623" s="72"/>
      <c r="E623" s="72"/>
      <c r="J623" s="27" t="s">
        <v>66</v>
      </c>
    </row>
    <row r="624" ht="15.75" customHeight="1">
      <c r="A624" s="55"/>
      <c r="B624" s="72"/>
      <c r="D624" s="72"/>
      <c r="E624" s="72"/>
      <c r="J624" s="27" t="s">
        <v>66</v>
      </c>
    </row>
    <row r="625" ht="15.75" customHeight="1">
      <c r="A625" s="55"/>
      <c r="B625" s="72"/>
      <c r="D625" s="72"/>
      <c r="E625" s="72"/>
      <c r="J625" s="27" t="s">
        <v>66</v>
      </c>
    </row>
    <row r="626" ht="15.75" customHeight="1">
      <c r="A626" s="55"/>
      <c r="B626" s="72"/>
      <c r="D626" s="72"/>
      <c r="E626" s="72"/>
      <c r="J626" s="27" t="s">
        <v>66</v>
      </c>
    </row>
    <row r="627" ht="15.75" customHeight="1">
      <c r="A627" s="55"/>
      <c r="B627" s="72"/>
      <c r="D627" s="72"/>
      <c r="E627" s="72"/>
      <c r="J627" s="27" t="s">
        <v>66</v>
      </c>
    </row>
    <row r="628" ht="15.75" customHeight="1">
      <c r="A628" s="55"/>
      <c r="B628" s="72"/>
      <c r="D628" s="72"/>
      <c r="E628" s="72"/>
      <c r="J628" s="27" t="s">
        <v>66</v>
      </c>
    </row>
    <row r="629" ht="15.75" customHeight="1">
      <c r="A629" s="55"/>
      <c r="B629" s="72"/>
      <c r="D629" s="72"/>
      <c r="E629" s="72"/>
      <c r="J629" s="27" t="s">
        <v>66</v>
      </c>
    </row>
    <row r="630" ht="15.75" customHeight="1">
      <c r="A630" s="55"/>
      <c r="B630" s="72"/>
      <c r="D630" s="72"/>
      <c r="E630" s="72"/>
      <c r="J630" s="27" t="s">
        <v>66</v>
      </c>
    </row>
    <row r="631" ht="15.75" customHeight="1">
      <c r="A631" s="55"/>
      <c r="B631" s="72"/>
      <c r="D631" s="72"/>
      <c r="E631" s="72"/>
      <c r="J631" s="27" t="s">
        <v>66</v>
      </c>
    </row>
    <row r="632" ht="15.75" customHeight="1">
      <c r="A632" s="55"/>
      <c r="B632" s="72"/>
      <c r="D632" s="72"/>
      <c r="E632" s="72"/>
      <c r="J632" s="27" t="s">
        <v>66</v>
      </c>
    </row>
    <row r="633" ht="15.75" customHeight="1">
      <c r="A633" s="55"/>
      <c r="B633" s="72"/>
      <c r="D633" s="72"/>
      <c r="E633" s="72"/>
      <c r="J633" s="27" t="s">
        <v>66</v>
      </c>
    </row>
    <row r="634" ht="15.75" customHeight="1">
      <c r="A634" s="55"/>
      <c r="B634" s="72"/>
      <c r="D634" s="72"/>
      <c r="E634" s="72"/>
      <c r="J634" s="27" t="s">
        <v>66</v>
      </c>
    </row>
    <row r="635" ht="15.75" customHeight="1">
      <c r="A635" s="55"/>
      <c r="B635" s="72"/>
      <c r="D635" s="72"/>
      <c r="E635" s="72"/>
      <c r="J635" s="27" t="s">
        <v>66</v>
      </c>
    </row>
    <row r="636" ht="15.75" customHeight="1">
      <c r="A636" s="55"/>
      <c r="B636" s="72"/>
      <c r="D636" s="72"/>
      <c r="E636" s="72"/>
      <c r="J636" s="27" t="s">
        <v>66</v>
      </c>
    </row>
    <row r="637" ht="15.75" customHeight="1">
      <c r="A637" s="55"/>
      <c r="B637" s="72"/>
      <c r="D637" s="72"/>
      <c r="E637" s="72"/>
      <c r="J637" s="27" t="s">
        <v>66</v>
      </c>
    </row>
    <row r="638" ht="15.75" customHeight="1">
      <c r="A638" s="55"/>
      <c r="B638" s="72"/>
      <c r="D638" s="72"/>
      <c r="E638" s="72"/>
      <c r="J638" s="27" t="s">
        <v>66</v>
      </c>
    </row>
    <row r="639" ht="15.75" customHeight="1">
      <c r="A639" s="55"/>
      <c r="B639" s="72"/>
      <c r="D639" s="72"/>
      <c r="E639" s="72"/>
      <c r="J639" s="27" t="s">
        <v>66</v>
      </c>
    </row>
    <row r="640" ht="15.75" customHeight="1">
      <c r="A640" s="55"/>
      <c r="B640" s="72"/>
      <c r="D640" s="72"/>
      <c r="E640" s="72"/>
      <c r="J640" s="27" t="s">
        <v>66</v>
      </c>
    </row>
    <row r="641" ht="15.75" customHeight="1">
      <c r="A641" s="55"/>
      <c r="B641" s="72"/>
      <c r="D641" s="72"/>
      <c r="E641" s="72"/>
      <c r="J641" s="27" t="s">
        <v>66</v>
      </c>
    </row>
    <row r="642" ht="15.75" customHeight="1">
      <c r="A642" s="55"/>
      <c r="B642" s="72"/>
      <c r="D642" s="72"/>
      <c r="E642" s="72"/>
      <c r="J642" s="27" t="s">
        <v>66</v>
      </c>
    </row>
    <row r="643" ht="15.75" customHeight="1">
      <c r="A643" s="55"/>
      <c r="B643" s="72"/>
      <c r="D643" s="72"/>
      <c r="E643" s="72"/>
      <c r="J643" s="27" t="s">
        <v>66</v>
      </c>
    </row>
    <row r="644" ht="15.75" customHeight="1">
      <c r="A644" s="55"/>
      <c r="B644" s="72"/>
      <c r="D644" s="72"/>
      <c r="E644" s="72"/>
      <c r="J644" s="27" t="s">
        <v>66</v>
      </c>
    </row>
    <row r="645" ht="15.75" customHeight="1">
      <c r="A645" s="55"/>
      <c r="B645" s="72"/>
      <c r="D645" s="72"/>
      <c r="E645" s="72"/>
      <c r="J645" s="27" t="s">
        <v>66</v>
      </c>
    </row>
    <row r="646" ht="15.75" customHeight="1">
      <c r="A646" s="55"/>
      <c r="B646" s="72"/>
      <c r="D646" s="72"/>
      <c r="E646" s="72"/>
      <c r="J646" s="27" t="s">
        <v>66</v>
      </c>
    </row>
    <row r="647" ht="15.75" customHeight="1">
      <c r="A647" s="55"/>
      <c r="B647" s="72"/>
      <c r="D647" s="72"/>
      <c r="E647" s="72"/>
      <c r="J647" s="27" t="s">
        <v>66</v>
      </c>
    </row>
    <row r="648" ht="15.75" customHeight="1">
      <c r="A648" s="55"/>
      <c r="B648" s="72"/>
      <c r="D648" s="72"/>
      <c r="E648" s="72"/>
      <c r="J648" s="27" t="s">
        <v>66</v>
      </c>
    </row>
    <row r="649" ht="15.75" customHeight="1">
      <c r="A649" s="55"/>
      <c r="B649" s="72"/>
      <c r="D649" s="72"/>
      <c r="E649" s="72"/>
      <c r="J649" s="27" t="s">
        <v>66</v>
      </c>
    </row>
    <row r="650" ht="15.75" customHeight="1">
      <c r="A650" s="55"/>
      <c r="B650" s="72"/>
      <c r="D650" s="72"/>
      <c r="E650" s="72"/>
      <c r="J650" s="27" t="s">
        <v>66</v>
      </c>
    </row>
    <row r="651" ht="15.75" customHeight="1">
      <c r="A651" s="55"/>
      <c r="B651" s="72"/>
      <c r="D651" s="72"/>
      <c r="E651" s="72"/>
      <c r="J651" s="27" t="s">
        <v>66</v>
      </c>
    </row>
    <row r="652" ht="15.75" customHeight="1">
      <c r="A652" s="55"/>
      <c r="B652" s="72"/>
      <c r="D652" s="72"/>
      <c r="E652" s="72"/>
      <c r="J652" s="27" t="s">
        <v>66</v>
      </c>
    </row>
    <row r="653" ht="15.75" customHeight="1">
      <c r="A653" s="55"/>
      <c r="B653" s="72"/>
      <c r="D653" s="72"/>
      <c r="E653" s="72"/>
      <c r="J653" s="27" t="s">
        <v>66</v>
      </c>
    </row>
    <row r="654" ht="15.75" customHeight="1">
      <c r="A654" s="55"/>
      <c r="B654" s="72"/>
      <c r="D654" s="72"/>
      <c r="E654" s="72"/>
      <c r="J654" s="27" t="s">
        <v>66</v>
      </c>
    </row>
    <row r="655" ht="15.75" customHeight="1">
      <c r="A655" s="55"/>
      <c r="B655" s="72"/>
      <c r="D655" s="72"/>
      <c r="E655" s="72"/>
      <c r="J655" s="27" t="s">
        <v>66</v>
      </c>
    </row>
    <row r="656" ht="15.75" customHeight="1">
      <c r="A656" s="55"/>
      <c r="B656" s="72"/>
      <c r="D656" s="72"/>
      <c r="E656" s="72"/>
      <c r="J656" s="27" t="s">
        <v>66</v>
      </c>
    </row>
    <row r="657" ht="15.75" customHeight="1">
      <c r="A657" s="55"/>
      <c r="B657" s="72"/>
      <c r="D657" s="72"/>
      <c r="E657" s="72"/>
      <c r="J657" s="27" t="s">
        <v>66</v>
      </c>
    </row>
    <row r="658" ht="15.75" customHeight="1">
      <c r="A658" s="55"/>
      <c r="B658" s="72"/>
      <c r="D658" s="72"/>
      <c r="E658" s="72"/>
      <c r="J658" s="27" t="s">
        <v>66</v>
      </c>
    </row>
    <row r="659" ht="15.75" customHeight="1">
      <c r="A659" s="55"/>
      <c r="B659" s="72"/>
      <c r="D659" s="72"/>
      <c r="E659" s="72"/>
      <c r="J659" s="27" t="s">
        <v>66</v>
      </c>
    </row>
    <row r="660" ht="15.75" customHeight="1">
      <c r="A660" s="55"/>
      <c r="B660" s="72"/>
      <c r="D660" s="72"/>
      <c r="E660" s="72"/>
      <c r="J660" s="27" t="s">
        <v>66</v>
      </c>
    </row>
    <row r="661" ht="15.75" customHeight="1">
      <c r="A661" s="55"/>
      <c r="B661" s="72"/>
      <c r="D661" s="72"/>
      <c r="E661" s="72"/>
      <c r="J661" s="27" t="s">
        <v>66</v>
      </c>
    </row>
    <row r="662" ht="15.75" customHeight="1">
      <c r="A662" s="55"/>
      <c r="B662" s="72"/>
      <c r="D662" s="72"/>
      <c r="E662" s="72"/>
      <c r="J662" s="27" t="s">
        <v>66</v>
      </c>
    </row>
    <row r="663" ht="15.75" customHeight="1">
      <c r="A663" s="55"/>
      <c r="B663" s="72"/>
      <c r="D663" s="72"/>
      <c r="E663" s="72"/>
      <c r="J663" s="27" t="s">
        <v>66</v>
      </c>
    </row>
    <row r="664" ht="15.75" customHeight="1">
      <c r="A664" s="55"/>
      <c r="B664" s="72"/>
      <c r="D664" s="72"/>
      <c r="E664" s="72"/>
      <c r="J664" s="27" t="s">
        <v>66</v>
      </c>
    </row>
    <row r="665" ht="15.75" customHeight="1">
      <c r="A665" s="55"/>
      <c r="B665" s="72"/>
      <c r="D665" s="72"/>
      <c r="E665" s="72"/>
      <c r="J665" s="27" t="s">
        <v>66</v>
      </c>
    </row>
    <row r="666" ht="15.75" customHeight="1">
      <c r="A666" s="55"/>
      <c r="B666" s="72"/>
      <c r="D666" s="72"/>
      <c r="E666" s="72"/>
      <c r="J666" s="27" t="s">
        <v>66</v>
      </c>
    </row>
    <row r="667" ht="15.75" customHeight="1">
      <c r="A667" s="55"/>
      <c r="B667" s="72"/>
      <c r="D667" s="72"/>
      <c r="E667" s="72"/>
      <c r="J667" s="27" t="s">
        <v>66</v>
      </c>
    </row>
    <row r="668" ht="15.75" customHeight="1">
      <c r="A668" s="55"/>
      <c r="B668" s="72"/>
      <c r="D668" s="72"/>
      <c r="E668" s="72"/>
      <c r="J668" s="27" t="s">
        <v>66</v>
      </c>
    </row>
    <row r="669" ht="15.75" customHeight="1">
      <c r="A669" s="55"/>
      <c r="B669" s="72"/>
      <c r="D669" s="72"/>
      <c r="E669" s="72"/>
      <c r="J669" s="27" t="s">
        <v>66</v>
      </c>
    </row>
    <row r="670" ht="15.75" customHeight="1">
      <c r="A670" s="55"/>
      <c r="B670" s="72"/>
      <c r="D670" s="72"/>
      <c r="E670" s="72"/>
      <c r="J670" s="27" t="s">
        <v>66</v>
      </c>
    </row>
    <row r="671" ht="15.75" customHeight="1">
      <c r="A671" s="55"/>
      <c r="B671" s="72"/>
      <c r="D671" s="72"/>
      <c r="E671" s="72"/>
      <c r="J671" s="27" t="s">
        <v>66</v>
      </c>
    </row>
    <row r="672" ht="15.75" customHeight="1">
      <c r="A672" s="55"/>
      <c r="B672" s="72"/>
      <c r="D672" s="72"/>
      <c r="E672" s="72"/>
      <c r="J672" s="27" t="s">
        <v>66</v>
      </c>
    </row>
    <row r="673" ht="15.75" customHeight="1">
      <c r="A673" s="55"/>
      <c r="B673" s="72"/>
      <c r="D673" s="72"/>
      <c r="E673" s="72"/>
      <c r="J673" s="27" t="s">
        <v>66</v>
      </c>
    </row>
    <row r="674" ht="15.75" customHeight="1">
      <c r="A674" s="55"/>
      <c r="B674" s="72"/>
      <c r="D674" s="72"/>
      <c r="E674" s="72"/>
      <c r="J674" s="27" t="s">
        <v>66</v>
      </c>
    </row>
    <row r="675" ht="15.75" customHeight="1">
      <c r="A675" s="55"/>
      <c r="B675" s="72"/>
      <c r="D675" s="72"/>
      <c r="E675" s="72"/>
      <c r="J675" s="27" t="s">
        <v>66</v>
      </c>
    </row>
    <row r="676" ht="15.75" customHeight="1">
      <c r="A676" s="55"/>
      <c r="B676" s="72"/>
      <c r="D676" s="72"/>
      <c r="E676" s="72"/>
      <c r="J676" s="27" t="s">
        <v>66</v>
      </c>
    </row>
    <row r="677" ht="15.75" customHeight="1">
      <c r="A677" s="55"/>
      <c r="B677" s="72"/>
      <c r="D677" s="72"/>
      <c r="E677" s="72"/>
      <c r="J677" s="27" t="s">
        <v>66</v>
      </c>
    </row>
    <row r="678" ht="15.75" customHeight="1">
      <c r="A678" s="55"/>
      <c r="B678" s="72"/>
      <c r="D678" s="72"/>
      <c r="E678" s="72"/>
      <c r="J678" s="27" t="s">
        <v>66</v>
      </c>
    </row>
    <row r="679" ht="15.75" customHeight="1">
      <c r="A679" s="55"/>
      <c r="B679" s="72"/>
      <c r="D679" s="72"/>
      <c r="E679" s="72"/>
      <c r="J679" s="27" t="s">
        <v>66</v>
      </c>
    </row>
    <row r="680" ht="15.75" customHeight="1">
      <c r="A680" s="55"/>
      <c r="B680" s="72"/>
      <c r="D680" s="72"/>
      <c r="E680" s="72"/>
      <c r="J680" s="27" t="s">
        <v>66</v>
      </c>
    </row>
    <row r="681" ht="15.75" customHeight="1">
      <c r="A681" s="55"/>
      <c r="B681" s="72"/>
      <c r="D681" s="72"/>
      <c r="E681" s="72"/>
      <c r="J681" s="27" t="s">
        <v>66</v>
      </c>
    </row>
    <row r="682" ht="15.75" customHeight="1">
      <c r="A682" s="55"/>
      <c r="B682" s="72"/>
      <c r="D682" s="72"/>
      <c r="E682" s="72"/>
      <c r="J682" s="27" t="s">
        <v>66</v>
      </c>
    </row>
    <row r="683" ht="15.75" customHeight="1">
      <c r="A683" s="55"/>
      <c r="B683" s="72"/>
      <c r="D683" s="72"/>
      <c r="E683" s="72"/>
      <c r="J683" s="27" t="s">
        <v>66</v>
      </c>
    </row>
    <row r="684" ht="15.75" customHeight="1">
      <c r="A684" s="55"/>
      <c r="B684" s="72"/>
      <c r="D684" s="72"/>
      <c r="E684" s="72"/>
      <c r="J684" s="27" t="s">
        <v>66</v>
      </c>
    </row>
    <row r="685" ht="15.75" customHeight="1">
      <c r="A685" s="55"/>
      <c r="B685" s="72"/>
      <c r="D685" s="72"/>
      <c r="E685" s="72"/>
      <c r="J685" s="27" t="s">
        <v>66</v>
      </c>
    </row>
    <row r="686" ht="15.75" customHeight="1">
      <c r="A686" s="55"/>
      <c r="B686" s="72"/>
      <c r="D686" s="72"/>
      <c r="E686" s="72"/>
      <c r="J686" s="27" t="s">
        <v>66</v>
      </c>
    </row>
    <row r="687" ht="15.75" customHeight="1">
      <c r="A687" s="55"/>
      <c r="B687" s="72"/>
      <c r="D687" s="72"/>
      <c r="E687" s="72"/>
      <c r="J687" s="27" t="s">
        <v>66</v>
      </c>
    </row>
    <row r="688" ht="15.75" customHeight="1">
      <c r="A688" s="55"/>
      <c r="B688" s="72"/>
      <c r="D688" s="72"/>
      <c r="E688" s="72"/>
      <c r="J688" s="27" t="s">
        <v>66</v>
      </c>
    </row>
    <row r="689" ht="15.75" customHeight="1">
      <c r="A689" s="55"/>
      <c r="B689" s="72"/>
      <c r="D689" s="72"/>
      <c r="E689" s="72"/>
      <c r="J689" s="27" t="s">
        <v>66</v>
      </c>
    </row>
    <row r="690" ht="15.75" customHeight="1">
      <c r="A690" s="55"/>
      <c r="B690" s="72"/>
      <c r="D690" s="72"/>
      <c r="E690" s="72"/>
      <c r="J690" s="27" t="s">
        <v>66</v>
      </c>
    </row>
    <row r="691" ht="15.75" customHeight="1">
      <c r="A691" s="55"/>
      <c r="B691" s="72"/>
      <c r="D691" s="72"/>
      <c r="E691" s="72"/>
      <c r="J691" s="27" t="s">
        <v>66</v>
      </c>
    </row>
    <row r="692" ht="15.75" customHeight="1">
      <c r="A692" s="55"/>
      <c r="B692" s="72"/>
      <c r="D692" s="72"/>
      <c r="E692" s="72"/>
      <c r="J692" s="27" t="s">
        <v>66</v>
      </c>
    </row>
    <row r="693" ht="15.75" customHeight="1">
      <c r="A693" s="55"/>
      <c r="B693" s="72"/>
      <c r="D693" s="72"/>
      <c r="E693" s="72"/>
      <c r="J693" s="27" t="s">
        <v>66</v>
      </c>
    </row>
    <row r="694" ht="15.75" customHeight="1">
      <c r="A694" s="55"/>
      <c r="B694" s="72"/>
      <c r="D694" s="72"/>
      <c r="E694" s="72"/>
      <c r="J694" s="27" t="s">
        <v>66</v>
      </c>
    </row>
    <row r="695" ht="15.75" customHeight="1">
      <c r="A695" s="55"/>
      <c r="B695" s="72"/>
      <c r="D695" s="72"/>
      <c r="E695" s="72"/>
      <c r="J695" s="27" t="s">
        <v>66</v>
      </c>
    </row>
    <row r="696" ht="15.75" customHeight="1">
      <c r="A696" s="55"/>
      <c r="B696" s="72"/>
      <c r="D696" s="72"/>
      <c r="E696" s="72"/>
      <c r="J696" s="27" t="s">
        <v>66</v>
      </c>
    </row>
    <row r="697" ht="15.75" customHeight="1">
      <c r="A697" s="55"/>
      <c r="B697" s="72"/>
      <c r="D697" s="72"/>
      <c r="E697" s="72"/>
      <c r="J697" s="27" t="s">
        <v>66</v>
      </c>
    </row>
    <row r="698" ht="15.75" customHeight="1">
      <c r="A698" s="55"/>
      <c r="B698" s="72"/>
      <c r="D698" s="72"/>
      <c r="E698" s="72"/>
      <c r="J698" s="27" t="s">
        <v>66</v>
      </c>
    </row>
    <row r="699" ht="15.75" customHeight="1">
      <c r="A699" s="55"/>
      <c r="B699" s="72"/>
      <c r="D699" s="72"/>
      <c r="E699" s="72"/>
      <c r="J699" s="27" t="s">
        <v>66</v>
      </c>
    </row>
    <row r="700" ht="15.75" customHeight="1">
      <c r="A700" s="55"/>
      <c r="B700" s="72"/>
      <c r="D700" s="72"/>
      <c r="E700" s="72"/>
      <c r="J700" s="27" t="s">
        <v>66</v>
      </c>
    </row>
    <row r="701" ht="15.75" customHeight="1">
      <c r="A701" s="55"/>
      <c r="B701" s="72"/>
      <c r="D701" s="72"/>
      <c r="E701" s="72"/>
      <c r="J701" s="27" t="s">
        <v>66</v>
      </c>
    </row>
    <row r="702" ht="15.75" customHeight="1">
      <c r="A702" s="55"/>
      <c r="B702" s="72"/>
      <c r="D702" s="72"/>
      <c r="E702" s="72"/>
      <c r="J702" s="27" t="s">
        <v>66</v>
      </c>
    </row>
    <row r="703" ht="15.75" customHeight="1">
      <c r="A703" s="55"/>
      <c r="B703" s="72"/>
      <c r="D703" s="72"/>
      <c r="E703" s="72"/>
      <c r="J703" s="27" t="s">
        <v>66</v>
      </c>
    </row>
    <row r="704" ht="15.75" customHeight="1">
      <c r="A704" s="55"/>
      <c r="B704" s="72"/>
      <c r="D704" s="72"/>
      <c r="E704" s="72"/>
      <c r="J704" s="27" t="s">
        <v>66</v>
      </c>
    </row>
    <row r="705" ht="15.75" customHeight="1">
      <c r="A705" s="55"/>
      <c r="B705" s="72"/>
      <c r="D705" s="72"/>
      <c r="E705" s="72"/>
      <c r="J705" s="27" t="s">
        <v>66</v>
      </c>
    </row>
    <row r="706" ht="15.75" customHeight="1">
      <c r="A706" s="55"/>
      <c r="B706" s="72"/>
      <c r="D706" s="72"/>
      <c r="E706" s="72"/>
      <c r="J706" s="27" t="s">
        <v>66</v>
      </c>
    </row>
    <row r="707" ht="15.75" customHeight="1">
      <c r="A707" s="55"/>
      <c r="B707" s="72"/>
      <c r="D707" s="72"/>
      <c r="E707" s="72"/>
      <c r="J707" s="27" t="s">
        <v>66</v>
      </c>
    </row>
    <row r="708" ht="15.75" customHeight="1">
      <c r="A708" s="55"/>
      <c r="B708" s="72"/>
      <c r="D708" s="72"/>
      <c r="E708" s="72"/>
      <c r="J708" s="27" t="s">
        <v>66</v>
      </c>
    </row>
    <row r="709" ht="15.75" customHeight="1">
      <c r="A709" s="55"/>
      <c r="B709" s="72"/>
      <c r="D709" s="72"/>
      <c r="E709" s="72"/>
      <c r="J709" s="27" t="s">
        <v>66</v>
      </c>
    </row>
    <row r="710" ht="15.75" customHeight="1">
      <c r="A710" s="55"/>
      <c r="B710" s="72"/>
      <c r="D710" s="72"/>
      <c r="E710" s="72"/>
      <c r="J710" s="27" t="s">
        <v>66</v>
      </c>
    </row>
    <row r="711" ht="15.75" customHeight="1">
      <c r="A711" s="55"/>
      <c r="B711" s="72"/>
      <c r="D711" s="72"/>
      <c r="E711" s="72"/>
      <c r="J711" s="27" t="s">
        <v>66</v>
      </c>
    </row>
    <row r="712" ht="15.75" customHeight="1">
      <c r="A712" s="55"/>
      <c r="B712" s="72"/>
      <c r="D712" s="72"/>
      <c r="E712" s="72"/>
      <c r="J712" s="27" t="s">
        <v>66</v>
      </c>
    </row>
    <row r="713" ht="15.75" customHeight="1">
      <c r="A713" s="55"/>
      <c r="B713" s="72"/>
      <c r="D713" s="72"/>
      <c r="E713" s="72"/>
      <c r="J713" s="27" t="s">
        <v>66</v>
      </c>
    </row>
    <row r="714" ht="15.75" customHeight="1">
      <c r="A714" s="55"/>
      <c r="B714" s="72"/>
      <c r="D714" s="72"/>
      <c r="E714" s="72"/>
      <c r="J714" s="27" t="s">
        <v>66</v>
      </c>
    </row>
    <row r="715" ht="15.75" customHeight="1">
      <c r="A715" s="55"/>
      <c r="B715" s="72"/>
      <c r="D715" s="72"/>
      <c r="E715" s="72"/>
      <c r="J715" s="27" t="s">
        <v>66</v>
      </c>
    </row>
    <row r="716" ht="15.75" customHeight="1">
      <c r="A716" s="55"/>
      <c r="B716" s="72"/>
      <c r="D716" s="72"/>
      <c r="E716" s="72"/>
      <c r="J716" s="27" t="s">
        <v>66</v>
      </c>
    </row>
    <row r="717" ht="15.75" customHeight="1">
      <c r="A717" s="55"/>
      <c r="B717" s="72"/>
      <c r="D717" s="72"/>
      <c r="E717" s="72"/>
      <c r="J717" s="27" t="s">
        <v>66</v>
      </c>
    </row>
    <row r="718" ht="15.75" customHeight="1">
      <c r="A718" s="55"/>
      <c r="B718" s="72"/>
      <c r="D718" s="72"/>
      <c r="E718" s="72"/>
      <c r="J718" s="27" t="s">
        <v>66</v>
      </c>
    </row>
    <row r="719" ht="15.75" customHeight="1">
      <c r="A719" s="55"/>
      <c r="B719" s="72"/>
      <c r="D719" s="72"/>
      <c r="E719" s="72"/>
      <c r="J719" s="27" t="s">
        <v>66</v>
      </c>
    </row>
    <row r="720" ht="15.75" customHeight="1">
      <c r="A720" s="55"/>
      <c r="B720" s="72"/>
      <c r="D720" s="72"/>
      <c r="E720" s="72"/>
      <c r="J720" s="27" t="s">
        <v>66</v>
      </c>
    </row>
    <row r="721" ht="15.75" customHeight="1">
      <c r="A721" s="55"/>
      <c r="B721" s="72"/>
      <c r="D721" s="72"/>
      <c r="E721" s="72"/>
      <c r="J721" s="27" t="s">
        <v>66</v>
      </c>
    </row>
    <row r="722" ht="15.75" customHeight="1">
      <c r="A722" s="55"/>
      <c r="B722" s="72"/>
      <c r="D722" s="72"/>
      <c r="E722" s="72"/>
      <c r="J722" s="27" t="s">
        <v>66</v>
      </c>
    </row>
    <row r="723" ht="15.75" customHeight="1">
      <c r="A723" s="55"/>
      <c r="B723" s="72"/>
      <c r="D723" s="72"/>
      <c r="E723" s="72"/>
      <c r="J723" s="27" t="s">
        <v>66</v>
      </c>
    </row>
    <row r="724" ht="15.75" customHeight="1">
      <c r="A724" s="55"/>
      <c r="B724" s="72"/>
      <c r="D724" s="72"/>
      <c r="E724" s="72"/>
      <c r="J724" s="27" t="s">
        <v>66</v>
      </c>
    </row>
    <row r="725" ht="15.75" customHeight="1">
      <c r="A725" s="55"/>
      <c r="B725" s="72"/>
      <c r="D725" s="72"/>
      <c r="E725" s="72"/>
      <c r="J725" s="27" t="s">
        <v>66</v>
      </c>
    </row>
    <row r="726" ht="15.75" customHeight="1">
      <c r="A726" s="55"/>
      <c r="B726" s="72"/>
      <c r="D726" s="72"/>
      <c r="E726" s="72"/>
      <c r="J726" s="27" t="s">
        <v>66</v>
      </c>
    </row>
    <row r="727" ht="15.75" customHeight="1">
      <c r="A727" s="55"/>
      <c r="B727" s="72"/>
      <c r="D727" s="72"/>
      <c r="E727" s="72"/>
      <c r="J727" s="27" t="s">
        <v>66</v>
      </c>
    </row>
    <row r="728" ht="15.75" customHeight="1">
      <c r="A728" s="55"/>
      <c r="B728" s="72"/>
      <c r="D728" s="72"/>
      <c r="E728" s="72"/>
      <c r="J728" s="27" t="s">
        <v>66</v>
      </c>
    </row>
    <row r="729" ht="15.75" customHeight="1">
      <c r="A729" s="55"/>
      <c r="B729" s="72"/>
      <c r="D729" s="72"/>
      <c r="E729" s="72"/>
      <c r="J729" s="27" t="s">
        <v>66</v>
      </c>
    </row>
    <row r="730" ht="15.75" customHeight="1">
      <c r="A730" s="55"/>
      <c r="B730" s="72"/>
      <c r="D730" s="72"/>
      <c r="E730" s="72"/>
      <c r="J730" s="27" t="s">
        <v>66</v>
      </c>
    </row>
    <row r="731" ht="15.75" customHeight="1">
      <c r="A731" s="55"/>
      <c r="B731" s="72"/>
      <c r="D731" s="72"/>
      <c r="E731" s="72"/>
      <c r="J731" s="27" t="s">
        <v>66</v>
      </c>
    </row>
    <row r="732" ht="15.75" customHeight="1">
      <c r="A732" s="55"/>
      <c r="B732" s="72"/>
      <c r="D732" s="72"/>
      <c r="E732" s="72"/>
      <c r="J732" s="27" t="s">
        <v>66</v>
      </c>
    </row>
    <row r="733" ht="15.75" customHeight="1">
      <c r="A733" s="55"/>
      <c r="B733" s="72"/>
      <c r="D733" s="72"/>
      <c r="E733" s="72"/>
      <c r="J733" s="27" t="s">
        <v>66</v>
      </c>
    </row>
    <row r="734" ht="15.75" customHeight="1">
      <c r="A734" s="55"/>
      <c r="B734" s="72"/>
      <c r="D734" s="72"/>
      <c r="E734" s="72"/>
      <c r="J734" s="27" t="s">
        <v>66</v>
      </c>
    </row>
    <row r="735" ht="15.75" customHeight="1">
      <c r="A735" s="55"/>
      <c r="B735" s="72"/>
      <c r="D735" s="72"/>
      <c r="E735" s="72"/>
      <c r="J735" s="27" t="s">
        <v>66</v>
      </c>
    </row>
    <row r="736" ht="15.75" customHeight="1">
      <c r="A736" s="55"/>
      <c r="B736" s="72"/>
      <c r="D736" s="72"/>
      <c r="E736" s="72"/>
      <c r="J736" s="27" t="s">
        <v>66</v>
      </c>
    </row>
    <row r="737" ht="15.75" customHeight="1">
      <c r="A737" s="55"/>
      <c r="B737" s="72"/>
      <c r="D737" s="72"/>
      <c r="E737" s="72"/>
      <c r="J737" s="27" t="s">
        <v>66</v>
      </c>
    </row>
    <row r="738" ht="15.75" customHeight="1">
      <c r="A738" s="55"/>
      <c r="B738" s="72"/>
      <c r="D738" s="72"/>
      <c r="E738" s="72"/>
      <c r="J738" s="27" t="s">
        <v>66</v>
      </c>
    </row>
    <row r="739" ht="15.75" customHeight="1">
      <c r="A739" s="55"/>
      <c r="B739" s="72"/>
      <c r="D739" s="72"/>
      <c r="E739" s="72"/>
      <c r="J739" s="27" t="s">
        <v>66</v>
      </c>
    </row>
    <row r="740" ht="15.75" customHeight="1">
      <c r="A740" s="55"/>
      <c r="B740" s="72"/>
      <c r="D740" s="72"/>
      <c r="E740" s="72"/>
      <c r="J740" s="27" t="s">
        <v>66</v>
      </c>
    </row>
    <row r="741" ht="15.75" customHeight="1">
      <c r="A741" s="55"/>
      <c r="B741" s="72"/>
      <c r="D741" s="72"/>
      <c r="E741" s="72"/>
      <c r="J741" s="27" t="s">
        <v>66</v>
      </c>
    </row>
    <row r="742" ht="15.75" customHeight="1">
      <c r="A742" s="55"/>
      <c r="B742" s="72"/>
      <c r="D742" s="72"/>
      <c r="E742" s="72"/>
      <c r="J742" s="27" t="s">
        <v>66</v>
      </c>
    </row>
    <row r="743" ht="15.75" customHeight="1">
      <c r="A743" s="55"/>
      <c r="B743" s="72"/>
      <c r="D743" s="72"/>
      <c r="E743" s="72"/>
      <c r="J743" s="27" t="s">
        <v>66</v>
      </c>
    </row>
    <row r="744" ht="15.75" customHeight="1">
      <c r="A744" s="55"/>
      <c r="B744" s="72"/>
      <c r="D744" s="72"/>
      <c r="E744" s="72"/>
      <c r="J744" s="27" t="s">
        <v>66</v>
      </c>
    </row>
    <row r="745" ht="15.75" customHeight="1">
      <c r="A745" s="55"/>
      <c r="B745" s="72"/>
      <c r="D745" s="72"/>
      <c r="E745" s="72"/>
      <c r="J745" s="27" t="s">
        <v>66</v>
      </c>
    </row>
    <row r="746" ht="15.75" customHeight="1">
      <c r="A746" s="55"/>
      <c r="B746" s="72"/>
      <c r="D746" s="72"/>
      <c r="E746" s="72"/>
      <c r="J746" s="27" t="s">
        <v>66</v>
      </c>
    </row>
    <row r="747" ht="15.75" customHeight="1">
      <c r="A747" s="55"/>
      <c r="B747" s="72"/>
      <c r="D747" s="72"/>
      <c r="E747" s="72"/>
      <c r="J747" s="27" t="s">
        <v>66</v>
      </c>
    </row>
    <row r="748" ht="15.75" customHeight="1">
      <c r="A748" s="55"/>
      <c r="B748" s="72"/>
      <c r="D748" s="72"/>
      <c r="E748" s="72"/>
      <c r="J748" s="27" t="s">
        <v>66</v>
      </c>
    </row>
    <row r="749" ht="15.75" customHeight="1">
      <c r="A749" s="55"/>
      <c r="B749" s="72"/>
      <c r="D749" s="72"/>
      <c r="E749" s="72"/>
      <c r="J749" s="27" t="s">
        <v>66</v>
      </c>
    </row>
    <row r="750" ht="15.75" customHeight="1">
      <c r="A750" s="55"/>
      <c r="B750" s="72"/>
      <c r="D750" s="72"/>
      <c r="E750" s="72"/>
      <c r="J750" s="27" t="s">
        <v>66</v>
      </c>
    </row>
    <row r="751" ht="15.75" customHeight="1">
      <c r="A751" s="55"/>
      <c r="B751" s="72"/>
      <c r="D751" s="72"/>
      <c r="E751" s="72"/>
      <c r="J751" s="27" t="s">
        <v>66</v>
      </c>
    </row>
    <row r="752" ht="15.75" customHeight="1">
      <c r="A752" s="55"/>
      <c r="B752" s="72"/>
      <c r="D752" s="72"/>
      <c r="E752" s="72"/>
      <c r="J752" s="27" t="s">
        <v>66</v>
      </c>
    </row>
    <row r="753" ht="15.75" customHeight="1">
      <c r="A753" s="55"/>
      <c r="B753" s="72"/>
      <c r="D753" s="72"/>
      <c r="E753" s="72"/>
      <c r="J753" s="27" t="s">
        <v>66</v>
      </c>
    </row>
    <row r="754" ht="15.75" customHeight="1">
      <c r="A754" s="55"/>
      <c r="B754" s="72"/>
      <c r="D754" s="72"/>
      <c r="E754" s="72"/>
      <c r="J754" s="27" t="s">
        <v>66</v>
      </c>
    </row>
    <row r="755" ht="15.75" customHeight="1">
      <c r="A755" s="55"/>
      <c r="B755" s="72"/>
      <c r="D755" s="72"/>
      <c r="E755" s="72"/>
      <c r="J755" s="27" t="s">
        <v>66</v>
      </c>
    </row>
    <row r="756" ht="15.75" customHeight="1">
      <c r="A756" s="55"/>
      <c r="B756" s="72"/>
      <c r="D756" s="72"/>
      <c r="E756" s="72"/>
      <c r="J756" s="27" t="s">
        <v>66</v>
      </c>
    </row>
    <row r="757" ht="15.75" customHeight="1">
      <c r="A757" s="55"/>
      <c r="B757" s="72"/>
      <c r="D757" s="72"/>
      <c r="E757" s="72"/>
      <c r="J757" s="27" t="s">
        <v>66</v>
      </c>
    </row>
    <row r="758" ht="15.75" customHeight="1">
      <c r="A758" s="55"/>
      <c r="B758" s="72"/>
      <c r="D758" s="72"/>
      <c r="E758" s="72"/>
      <c r="J758" s="27" t="s">
        <v>66</v>
      </c>
    </row>
    <row r="759" ht="15.75" customHeight="1">
      <c r="A759" s="55"/>
      <c r="B759" s="72"/>
      <c r="D759" s="72"/>
      <c r="E759" s="72"/>
      <c r="J759" s="27" t="s">
        <v>66</v>
      </c>
    </row>
    <row r="760" ht="15.75" customHeight="1">
      <c r="A760" s="55"/>
      <c r="B760" s="72"/>
      <c r="D760" s="72"/>
      <c r="E760" s="72"/>
      <c r="J760" s="27" t="s">
        <v>66</v>
      </c>
    </row>
    <row r="761" ht="15.75" customHeight="1">
      <c r="A761" s="55"/>
      <c r="B761" s="72"/>
      <c r="D761" s="72"/>
      <c r="E761" s="72"/>
      <c r="J761" s="27" t="s">
        <v>66</v>
      </c>
    </row>
    <row r="762" ht="15.75" customHeight="1">
      <c r="A762" s="55"/>
      <c r="B762" s="72"/>
      <c r="D762" s="72"/>
      <c r="E762" s="72"/>
      <c r="J762" s="27" t="s">
        <v>66</v>
      </c>
    </row>
    <row r="763" ht="15.75" customHeight="1">
      <c r="A763" s="55"/>
      <c r="B763" s="72"/>
      <c r="D763" s="72"/>
      <c r="E763" s="72"/>
      <c r="J763" s="27" t="s">
        <v>66</v>
      </c>
    </row>
    <row r="764" ht="15.75" customHeight="1">
      <c r="A764" s="55"/>
      <c r="B764" s="72"/>
      <c r="D764" s="72"/>
      <c r="E764" s="72"/>
      <c r="J764" s="27" t="s">
        <v>66</v>
      </c>
    </row>
    <row r="765" ht="15.75" customHeight="1">
      <c r="A765" s="55"/>
      <c r="B765" s="72"/>
      <c r="D765" s="72"/>
      <c r="E765" s="72"/>
      <c r="J765" s="27" t="s">
        <v>66</v>
      </c>
    </row>
    <row r="766" ht="15.75" customHeight="1">
      <c r="A766" s="55"/>
      <c r="B766" s="72"/>
      <c r="D766" s="72"/>
      <c r="E766" s="72"/>
      <c r="J766" s="27" t="s">
        <v>66</v>
      </c>
    </row>
    <row r="767" ht="15.75" customHeight="1">
      <c r="A767" s="55"/>
      <c r="B767" s="72"/>
      <c r="D767" s="72"/>
      <c r="E767" s="72"/>
      <c r="J767" s="27" t="s">
        <v>66</v>
      </c>
    </row>
    <row r="768" ht="15.75" customHeight="1">
      <c r="A768" s="55"/>
      <c r="B768" s="72"/>
      <c r="D768" s="72"/>
      <c r="E768" s="72"/>
      <c r="J768" s="27" t="s">
        <v>66</v>
      </c>
    </row>
    <row r="769" ht="15.75" customHeight="1">
      <c r="A769" s="55"/>
      <c r="B769" s="72"/>
      <c r="D769" s="72"/>
      <c r="E769" s="72"/>
      <c r="J769" s="27" t="s">
        <v>66</v>
      </c>
    </row>
    <row r="770" ht="15.75" customHeight="1">
      <c r="A770" s="55"/>
      <c r="B770" s="72"/>
      <c r="D770" s="72"/>
      <c r="E770" s="72"/>
      <c r="J770" s="27" t="s">
        <v>66</v>
      </c>
    </row>
    <row r="771" ht="15.75" customHeight="1">
      <c r="A771" s="55"/>
      <c r="B771" s="72"/>
      <c r="D771" s="72"/>
      <c r="E771" s="72"/>
      <c r="J771" s="27" t="s">
        <v>66</v>
      </c>
    </row>
    <row r="772" ht="15.75" customHeight="1">
      <c r="A772" s="55"/>
      <c r="B772" s="72"/>
      <c r="D772" s="72"/>
      <c r="E772" s="72"/>
      <c r="J772" s="27" t="s">
        <v>66</v>
      </c>
    </row>
    <row r="773" ht="15.75" customHeight="1">
      <c r="A773" s="55"/>
      <c r="B773" s="72"/>
      <c r="D773" s="72"/>
      <c r="E773" s="72"/>
      <c r="J773" s="27" t="s">
        <v>66</v>
      </c>
    </row>
    <row r="774" ht="15.75" customHeight="1">
      <c r="A774" s="55"/>
      <c r="B774" s="72"/>
      <c r="D774" s="72"/>
      <c r="E774" s="72"/>
      <c r="J774" s="27" t="s">
        <v>66</v>
      </c>
    </row>
    <row r="775" ht="15.75" customHeight="1">
      <c r="A775" s="55"/>
      <c r="B775" s="72"/>
      <c r="D775" s="72"/>
      <c r="E775" s="72"/>
      <c r="J775" s="27" t="s">
        <v>66</v>
      </c>
    </row>
    <row r="776" ht="15.75" customHeight="1">
      <c r="A776" s="55"/>
      <c r="B776" s="72"/>
      <c r="D776" s="72"/>
      <c r="E776" s="72"/>
      <c r="J776" s="27" t="s">
        <v>66</v>
      </c>
    </row>
    <row r="777" ht="15.75" customHeight="1">
      <c r="A777" s="55"/>
      <c r="B777" s="72"/>
      <c r="D777" s="72"/>
      <c r="E777" s="72"/>
      <c r="J777" s="27" t="s">
        <v>66</v>
      </c>
    </row>
    <row r="778" ht="15.75" customHeight="1">
      <c r="A778" s="55"/>
      <c r="B778" s="72"/>
      <c r="D778" s="72"/>
      <c r="E778" s="72"/>
      <c r="J778" s="27" t="s">
        <v>66</v>
      </c>
    </row>
    <row r="779" ht="15.75" customHeight="1">
      <c r="A779" s="55"/>
      <c r="B779" s="72"/>
      <c r="D779" s="72"/>
      <c r="E779" s="72"/>
      <c r="J779" s="27" t="s">
        <v>66</v>
      </c>
    </row>
    <row r="780" ht="15.75" customHeight="1">
      <c r="A780" s="55"/>
      <c r="B780" s="72"/>
      <c r="D780" s="72"/>
      <c r="E780" s="72"/>
      <c r="J780" s="27" t="s">
        <v>66</v>
      </c>
    </row>
    <row r="781" ht="15.75" customHeight="1">
      <c r="A781" s="55"/>
      <c r="B781" s="72"/>
      <c r="D781" s="72"/>
      <c r="E781" s="72"/>
      <c r="J781" s="27" t="s">
        <v>66</v>
      </c>
    </row>
    <row r="782" ht="15.75" customHeight="1">
      <c r="A782" s="55"/>
      <c r="B782" s="72"/>
      <c r="D782" s="72"/>
      <c r="E782" s="72"/>
      <c r="J782" s="27" t="s">
        <v>66</v>
      </c>
    </row>
    <row r="783" ht="15.75" customHeight="1">
      <c r="A783" s="55"/>
      <c r="B783" s="72"/>
      <c r="D783" s="72"/>
      <c r="E783" s="72"/>
      <c r="J783" s="27" t="s">
        <v>66</v>
      </c>
    </row>
    <row r="784" ht="15.75" customHeight="1">
      <c r="A784" s="55"/>
      <c r="B784" s="72"/>
      <c r="D784" s="72"/>
      <c r="E784" s="72"/>
      <c r="J784" s="27" t="s">
        <v>66</v>
      </c>
    </row>
    <row r="785" ht="15.75" customHeight="1">
      <c r="A785" s="55"/>
      <c r="B785" s="72"/>
      <c r="D785" s="72"/>
      <c r="E785" s="72"/>
      <c r="J785" s="27" t="s">
        <v>66</v>
      </c>
    </row>
    <row r="786" ht="15.75" customHeight="1">
      <c r="A786" s="55"/>
      <c r="B786" s="72"/>
      <c r="D786" s="72"/>
      <c r="E786" s="72"/>
      <c r="J786" s="27" t="s">
        <v>66</v>
      </c>
    </row>
    <row r="787" ht="15.75" customHeight="1">
      <c r="A787" s="55"/>
      <c r="B787" s="72"/>
      <c r="D787" s="72"/>
      <c r="E787" s="72"/>
      <c r="J787" s="27" t="s">
        <v>66</v>
      </c>
    </row>
    <row r="788" ht="15.75" customHeight="1">
      <c r="A788" s="55"/>
      <c r="B788" s="72"/>
      <c r="D788" s="72"/>
      <c r="E788" s="72"/>
      <c r="J788" s="27" t="s">
        <v>66</v>
      </c>
    </row>
    <row r="789" ht="15.75" customHeight="1">
      <c r="A789" s="55"/>
      <c r="B789" s="72"/>
      <c r="D789" s="72"/>
      <c r="E789" s="72"/>
      <c r="J789" s="27" t="s">
        <v>66</v>
      </c>
    </row>
    <row r="790" ht="15.75" customHeight="1">
      <c r="A790" s="55"/>
      <c r="B790" s="72"/>
      <c r="D790" s="72"/>
      <c r="E790" s="72"/>
      <c r="J790" s="27" t="s">
        <v>66</v>
      </c>
    </row>
    <row r="791" ht="15.75" customHeight="1">
      <c r="A791" s="55"/>
      <c r="B791" s="72"/>
      <c r="D791" s="72"/>
      <c r="E791" s="72"/>
      <c r="J791" s="27" t="s">
        <v>66</v>
      </c>
    </row>
    <row r="792" ht="15.75" customHeight="1">
      <c r="A792" s="55"/>
      <c r="B792" s="72"/>
      <c r="D792" s="72"/>
      <c r="E792" s="72"/>
      <c r="J792" s="27" t="s">
        <v>66</v>
      </c>
    </row>
    <row r="793" ht="15.75" customHeight="1">
      <c r="A793" s="55"/>
      <c r="B793" s="72"/>
      <c r="D793" s="72"/>
      <c r="E793" s="72"/>
      <c r="J793" s="27" t="s">
        <v>66</v>
      </c>
    </row>
    <row r="794" ht="15.75" customHeight="1">
      <c r="A794" s="55"/>
      <c r="B794" s="72"/>
      <c r="D794" s="72"/>
      <c r="E794" s="72"/>
      <c r="J794" s="27" t="s">
        <v>66</v>
      </c>
    </row>
    <row r="795" ht="15.75" customHeight="1">
      <c r="A795" s="55"/>
      <c r="B795" s="72"/>
      <c r="D795" s="72"/>
      <c r="E795" s="72"/>
      <c r="J795" s="27" t="s">
        <v>66</v>
      </c>
    </row>
    <row r="796" ht="15.75" customHeight="1">
      <c r="A796" s="55"/>
      <c r="B796" s="72"/>
      <c r="D796" s="72"/>
      <c r="E796" s="72"/>
      <c r="J796" s="27" t="s">
        <v>66</v>
      </c>
    </row>
    <row r="797" ht="15.75" customHeight="1">
      <c r="A797" s="55"/>
      <c r="B797" s="72"/>
      <c r="D797" s="72"/>
      <c r="E797" s="72"/>
      <c r="J797" s="27" t="s">
        <v>66</v>
      </c>
    </row>
    <row r="798" ht="15.75" customHeight="1">
      <c r="A798" s="55"/>
      <c r="B798" s="72"/>
      <c r="D798" s="72"/>
      <c r="E798" s="72"/>
      <c r="J798" s="27" t="s">
        <v>66</v>
      </c>
    </row>
    <row r="799" ht="15.75" customHeight="1">
      <c r="A799" s="55"/>
      <c r="B799" s="72"/>
      <c r="D799" s="72"/>
      <c r="E799" s="72"/>
      <c r="J799" s="27" t="s">
        <v>66</v>
      </c>
    </row>
    <row r="800" ht="15.75" customHeight="1">
      <c r="A800" s="55"/>
      <c r="B800" s="72"/>
      <c r="D800" s="72"/>
      <c r="E800" s="72"/>
      <c r="J800" s="27" t="s">
        <v>66</v>
      </c>
    </row>
    <row r="801" ht="15.75" customHeight="1">
      <c r="A801" s="55"/>
      <c r="B801" s="72"/>
      <c r="D801" s="72"/>
      <c r="E801" s="72"/>
      <c r="J801" s="27" t="s">
        <v>66</v>
      </c>
    </row>
    <row r="802" ht="15.75" customHeight="1">
      <c r="A802" s="55"/>
      <c r="B802" s="72"/>
      <c r="D802" s="72"/>
      <c r="E802" s="72"/>
      <c r="J802" s="27" t="s">
        <v>66</v>
      </c>
    </row>
    <row r="803" ht="15.75" customHeight="1">
      <c r="A803" s="55"/>
      <c r="B803" s="72"/>
      <c r="D803" s="72"/>
      <c r="E803" s="72"/>
      <c r="J803" s="27" t="s">
        <v>66</v>
      </c>
    </row>
    <row r="804" ht="15.75" customHeight="1">
      <c r="A804" s="55"/>
      <c r="B804" s="72"/>
      <c r="D804" s="72"/>
      <c r="E804" s="72"/>
      <c r="J804" s="27" t="s">
        <v>66</v>
      </c>
    </row>
    <row r="805" ht="15.75" customHeight="1">
      <c r="A805" s="55"/>
      <c r="B805" s="72"/>
      <c r="D805" s="72"/>
      <c r="E805" s="72"/>
      <c r="J805" s="27" t="s">
        <v>66</v>
      </c>
    </row>
    <row r="806" ht="15.75" customHeight="1">
      <c r="A806" s="55"/>
      <c r="B806" s="72"/>
      <c r="D806" s="72"/>
      <c r="E806" s="72"/>
      <c r="J806" s="27" t="s">
        <v>66</v>
      </c>
    </row>
    <row r="807" ht="15.75" customHeight="1">
      <c r="A807" s="55"/>
      <c r="B807" s="72"/>
      <c r="D807" s="72"/>
      <c r="E807" s="72"/>
      <c r="J807" s="27" t="s">
        <v>66</v>
      </c>
    </row>
    <row r="808" ht="15.75" customHeight="1">
      <c r="A808" s="55"/>
      <c r="B808" s="72"/>
      <c r="D808" s="72"/>
      <c r="E808" s="72"/>
      <c r="J808" s="27" t="s">
        <v>66</v>
      </c>
    </row>
    <row r="809" ht="15.75" customHeight="1">
      <c r="A809" s="55"/>
      <c r="B809" s="72"/>
      <c r="D809" s="72"/>
      <c r="E809" s="72"/>
      <c r="J809" s="27" t="s">
        <v>66</v>
      </c>
    </row>
    <row r="810" ht="15.75" customHeight="1">
      <c r="A810" s="55"/>
      <c r="B810" s="72"/>
      <c r="D810" s="72"/>
      <c r="E810" s="72"/>
      <c r="J810" s="27" t="s">
        <v>66</v>
      </c>
    </row>
    <row r="811" ht="15.75" customHeight="1">
      <c r="A811" s="55"/>
      <c r="B811" s="72"/>
      <c r="D811" s="72"/>
      <c r="E811" s="72"/>
      <c r="J811" s="27" t="s">
        <v>66</v>
      </c>
    </row>
    <row r="812" ht="15.75" customHeight="1">
      <c r="A812" s="55"/>
      <c r="B812" s="72"/>
      <c r="D812" s="72"/>
      <c r="E812" s="72"/>
      <c r="J812" s="27" t="s">
        <v>66</v>
      </c>
    </row>
    <row r="813" ht="15.75" customHeight="1">
      <c r="A813" s="55"/>
      <c r="B813" s="72"/>
      <c r="D813" s="72"/>
      <c r="E813" s="72"/>
      <c r="J813" s="27" t="s">
        <v>66</v>
      </c>
    </row>
    <row r="814" ht="15.75" customHeight="1">
      <c r="A814" s="55"/>
      <c r="B814" s="72"/>
      <c r="D814" s="72"/>
      <c r="E814" s="72"/>
      <c r="J814" s="27" t="s">
        <v>66</v>
      </c>
    </row>
    <row r="815" ht="15.75" customHeight="1">
      <c r="A815" s="55"/>
      <c r="B815" s="72"/>
      <c r="D815" s="72"/>
      <c r="E815" s="72"/>
      <c r="J815" s="27" t="s">
        <v>66</v>
      </c>
    </row>
    <row r="816" ht="15.75" customHeight="1">
      <c r="A816" s="55"/>
      <c r="B816" s="72"/>
      <c r="D816" s="72"/>
      <c r="E816" s="72"/>
      <c r="J816" s="27" t="s">
        <v>66</v>
      </c>
    </row>
    <row r="817" ht="15.75" customHeight="1">
      <c r="A817" s="55"/>
      <c r="B817" s="72"/>
      <c r="D817" s="72"/>
      <c r="E817" s="72"/>
      <c r="J817" s="27" t="s">
        <v>66</v>
      </c>
    </row>
    <row r="818" ht="15.75" customHeight="1">
      <c r="A818" s="55"/>
      <c r="B818" s="72"/>
      <c r="D818" s="72"/>
      <c r="E818" s="72"/>
      <c r="J818" s="27" t="s">
        <v>66</v>
      </c>
    </row>
    <row r="819" ht="15.75" customHeight="1">
      <c r="A819" s="55"/>
      <c r="B819" s="72"/>
      <c r="D819" s="72"/>
      <c r="E819" s="72"/>
      <c r="J819" s="27" t="s">
        <v>66</v>
      </c>
    </row>
    <row r="820" ht="15.75" customHeight="1">
      <c r="A820" s="55"/>
      <c r="B820" s="72"/>
      <c r="D820" s="72"/>
      <c r="E820" s="72"/>
      <c r="J820" s="27" t="s">
        <v>66</v>
      </c>
    </row>
    <row r="821" ht="15.75" customHeight="1">
      <c r="A821" s="55"/>
      <c r="B821" s="72"/>
      <c r="D821" s="72"/>
      <c r="E821" s="72"/>
      <c r="J821" s="27" t="s">
        <v>66</v>
      </c>
    </row>
    <row r="822" ht="15.75" customHeight="1">
      <c r="A822" s="55"/>
      <c r="B822" s="72"/>
      <c r="D822" s="72"/>
      <c r="E822" s="72"/>
      <c r="J822" s="27" t="s">
        <v>66</v>
      </c>
    </row>
    <row r="823" ht="15.75" customHeight="1">
      <c r="A823" s="55"/>
      <c r="B823" s="72"/>
      <c r="D823" s="72"/>
      <c r="E823" s="72"/>
      <c r="J823" s="27" t="s">
        <v>66</v>
      </c>
    </row>
    <row r="824" ht="15.75" customHeight="1">
      <c r="A824" s="55"/>
      <c r="B824" s="72"/>
      <c r="D824" s="72"/>
      <c r="E824" s="72"/>
      <c r="J824" s="27" t="s">
        <v>66</v>
      </c>
    </row>
    <row r="825" ht="15.75" customHeight="1">
      <c r="A825" s="55"/>
      <c r="B825" s="72"/>
      <c r="D825" s="72"/>
      <c r="E825" s="72"/>
      <c r="J825" s="27" t="s">
        <v>66</v>
      </c>
    </row>
    <row r="826" ht="15.75" customHeight="1">
      <c r="A826" s="55"/>
      <c r="B826" s="72"/>
      <c r="D826" s="72"/>
      <c r="E826" s="72"/>
      <c r="J826" s="27" t="s">
        <v>66</v>
      </c>
    </row>
    <row r="827" ht="15.75" customHeight="1">
      <c r="A827" s="55"/>
      <c r="B827" s="72"/>
      <c r="D827" s="72"/>
      <c r="E827" s="72"/>
      <c r="J827" s="27" t="s">
        <v>66</v>
      </c>
    </row>
    <row r="828" ht="15.75" customHeight="1">
      <c r="A828" s="55"/>
      <c r="B828" s="72"/>
      <c r="D828" s="72"/>
      <c r="E828" s="72"/>
      <c r="J828" s="27" t="s">
        <v>66</v>
      </c>
    </row>
    <row r="829" ht="15.75" customHeight="1">
      <c r="A829" s="55"/>
      <c r="B829" s="72"/>
      <c r="D829" s="72"/>
      <c r="E829" s="72"/>
      <c r="J829" s="27" t="s">
        <v>66</v>
      </c>
    </row>
    <row r="830" ht="15.75" customHeight="1">
      <c r="A830" s="55"/>
      <c r="B830" s="72"/>
      <c r="D830" s="72"/>
      <c r="E830" s="72"/>
      <c r="J830" s="27" t="s">
        <v>66</v>
      </c>
    </row>
    <row r="831" ht="15.75" customHeight="1">
      <c r="A831" s="55"/>
      <c r="B831" s="72"/>
      <c r="D831" s="72"/>
      <c r="E831" s="72"/>
      <c r="J831" s="27" t="s">
        <v>66</v>
      </c>
    </row>
    <row r="832" ht="15.75" customHeight="1">
      <c r="A832" s="55"/>
      <c r="B832" s="72"/>
      <c r="D832" s="72"/>
      <c r="E832" s="72"/>
      <c r="J832" s="27" t="s">
        <v>66</v>
      </c>
    </row>
    <row r="833" ht="15.75" customHeight="1">
      <c r="A833" s="55"/>
      <c r="B833" s="72"/>
      <c r="D833" s="72"/>
      <c r="E833" s="72"/>
      <c r="J833" s="27" t="s">
        <v>66</v>
      </c>
    </row>
    <row r="834" ht="15.75" customHeight="1">
      <c r="A834" s="55"/>
      <c r="B834" s="72"/>
      <c r="D834" s="72"/>
      <c r="E834" s="72"/>
      <c r="J834" s="27" t="s">
        <v>66</v>
      </c>
    </row>
    <row r="835" ht="15.75" customHeight="1">
      <c r="A835" s="55"/>
      <c r="B835" s="72"/>
      <c r="D835" s="72"/>
      <c r="E835" s="72"/>
      <c r="J835" s="27" t="s">
        <v>66</v>
      </c>
    </row>
    <row r="836" ht="15.75" customHeight="1">
      <c r="A836" s="55"/>
      <c r="B836" s="72"/>
      <c r="D836" s="72"/>
      <c r="E836" s="72"/>
      <c r="J836" s="27" t="s">
        <v>66</v>
      </c>
    </row>
    <row r="837" ht="15.75" customHeight="1">
      <c r="A837" s="55"/>
      <c r="B837" s="72"/>
      <c r="D837" s="72"/>
      <c r="E837" s="72"/>
      <c r="J837" s="27" t="s">
        <v>66</v>
      </c>
    </row>
    <row r="838" ht="15.75" customHeight="1">
      <c r="A838" s="55"/>
      <c r="B838" s="72"/>
      <c r="D838" s="72"/>
      <c r="E838" s="72"/>
      <c r="J838" s="27" t="s">
        <v>66</v>
      </c>
    </row>
    <row r="839" ht="15.75" customHeight="1">
      <c r="A839" s="55"/>
      <c r="B839" s="72"/>
      <c r="D839" s="72"/>
      <c r="E839" s="72"/>
      <c r="J839" s="27" t="s">
        <v>66</v>
      </c>
    </row>
    <row r="840" ht="15.75" customHeight="1">
      <c r="A840" s="55"/>
      <c r="B840" s="72"/>
      <c r="D840" s="72"/>
      <c r="E840" s="72"/>
      <c r="J840" s="27" t="s">
        <v>66</v>
      </c>
    </row>
    <row r="841" ht="15.75" customHeight="1">
      <c r="A841" s="55"/>
      <c r="B841" s="72"/>
      <c r="D841" s="72"/>
      <c r="E841" s="72"/>
      <c r="J841" s="27" t="s">
        <v>66</v>
      </c>
    </row>
    <row r="842" ht="15.75" customHeight="1">
      <c r="A842" s="55"/>
      <c r="B842" s="72"/>
      <c r="D842" s="72"/>
      <c r="E842" s="72"/>
      <c r="J842" s="27" t="s">
        <v>66</v>
      </c>
    </row>
    <row r="843" ht="15.75" customHeight="1">
      <c r="A843" s="55"/>
      <c r="B843" s="72"/>
      <c r="D843" s="72"/>
      <c r="E843" s="72"/>
      <c r="J843" s="27" t="s">
        <v>66</v>
      </c>
    </row>
    <row r="844" ht="15.75" customHeight="1">
      <c r="A844" s="55"/>
      <c r="B844" s="72"/>
      <c r="D844" s="72"/>
      <c r="E844" s="72"/>
      <c r="J844" s="27" t="s">
        <v>66</v>
      </c>
    </row>
    <row r="845" ht="15.75" customHeight="1">
      <c r="A845" s="55"/>
      <c r="B845" s="72"/>
      <c r="D845" s="72"/>
      <c r="E845" s="72"/>
      <c r="J845" s="27" t="s">
        <v>66</v>
      </c>
    </row>
    <row r="846" ht="15.75" customHeight="1">
      <c r="A846" s="55"/>
      <c r="B846" s="72"/>
      <c r="D846" s="72"/>
      <c r="E846" s="72"/>
      <c r="J846" s="27" t="s">
        <v>66</v>
      </c>
    </row>
    <row r="847" ht="15.75" customHeight="1">
      <c r="A847" s="55"/>
      <c r="B847" s="72"/>
      <c r="D847" s="72"/>
      <c r="E847" s="72"/>
      <c r="J847" s="27" t="s">
        <v>66</v>
      </c>
    </row>
    <row r="848" ht="15.75" customHeight="1">
      <c r="A848" s="55"/>
      <c r="B848" s="72"/>
      <c r="D848" s="72"/>
      <c r="E848" s="72"/>
      <c r="J848" s="27" t="s">
        <v>66</v>
      </c>
    </row>
    <row r="849" ht="15.75" customHeight="1">
      <c r="A849" s="55"/>
      <c r="B849" s="72"/>
      <c r="D849" s="72"/>
      <c r="E849" s="72"/>
      <c r="J849" s="27" t="s">
        <v>66</v>
      </c>
    </row>
    <row r="850" ht="15.75" customHeight="1">
      <c r="A850" s="55"/>
      <c r="B850" s="72"/>
      <c r="D850" s="72"/>
      <c r="E850" s="72"/>
      <c r="J850" s="27" t="s">
        <v>66</v>
      </c>
    </row>
    <row r="851" ht="15.75" customHeight="1">
      <c r="A851" s="55"/>
      <c r="B851" s="72"/>
      <c r="D851" s="72"/>
      <c r="E851" s="72"/>
      <c r="J851" s="27" t="s">
        <v>66</v>
      </c>
    </row>
    <row r="852" ht="15.75" customHeight="1">
      <c r="A852" s="55"/>
      <c r="B852" s="72"/>
      <c r="D852" s="72"/>
      <c r="E852" s="72"/>
      <c r="J852" s="27" t="s">
        <v>66</v>
      </c>
    </row>
    <row r="853" ht="15.75" customHeight="1">
      <c r="A853" s="55"/>
      <c r="B853" s="72"/>
      <c r="D853" s="72"/>
      <c r="E853" s="72"/>
      <c r="J853" s="27" t="s">
        <v>66</v>
      </c>
    </row>
    <row r="854" ht="15.75" customHeight="1">
      <c r="A854" s="55"/>
      <c r="B854" s="72"/>
      <c r="D854" s="72"/>
      <c r="E854" s="72"/>
      <c r="J854" s="27" t="s">
        <v>66</v>
      </c>
    </row>
    <row r="855" ht="15.75" customHeight="1">
      <c r="A855" s="55"/>
      <c r="B855" s="72"/>
      <c r="D855" s="72"/>
      <c r="E855" s="72"/>
      <c r="J855" s="27" t="s">
        <v>66</v>
      </c>
    </row>
    <row r="856" ht="15.75" customHeight="1">
      <c r="A856" s="55"/>
      <c r="B856" s="72"/>
      <c r="D856" s="72"/>
      <c r="E856" s="72"/>
      <c r="J856" s="27" t="s">
        <v>66</v>
      </c>
    </row>
    <row r="857" ht="15.75" customHeight="1">
      <c r="A857" s="55"/>
      <c r="B857" s="72"/>
      <c r="D857" s="72"/>
      <c r="E857" s="72"/>
      <c r="J857" s="27" t="s">
        <v>66</v>
      </c>
    </row>
    <row r="858" ht="15.75" customHeight="1">
      <c r="A858" s="55"/>
      <c r="B858" s="72"/>
      <c r="D858" s="72"/>
      <c r="E858" s="72"/>
      <c r="J858" s="27" t="s">
        <v>66</v>
      </c>
    </row>
    <row r="859" ht="15.75" customHeight="1">
      <c r="A859" s="55"/>
      <c r="B859" s="72"/>
      <c r="D859" s="72"/>
      <c r="E859" s="72"/>
      <c r="J859" s="27" t="s">
        <v>66</v>
      </c>
    </row>
    <row r="860" ht="15.75" customHeight="1">
      <c r="A860" s="55"/>
      <c r="B860" s="72"/>
      <c r="D860" s="72"/>
      <c r="E860" s="72"/>
      <c r="J860" s="27" t="s">
        <v>66</v>
      </c>
    </row>
    <row r="861" ht="15.75" customHeight="1">
      <c r="A861" s="55"/>
      <c r="B861" s="72"/>
      <c r="D861" s="72"/>
      <c r="E861" s="72"/>
      <c r="J861" s="27" t="s">
        <v>66</v>
      </c>
    </row>
    <row r="862" ht="15.75" customHeight="1">
      <c r="A862" s="55"/>
      <c r="B862" s="72"/>
      <c r="D862" s="72"/>
      <c r="E862" s="72"/>
      <c r="J862" s="27" t="s">
        <v>66</v>
      </c>
    </row>
    <row r="863" ht="15.75" customHeight="1">
      <c r="A863" s="55"/>
      <c r="B863" s="72"/>
      <c r="D863" s="72"/>
      <c r="E863" s="72"/>
      <c r="J863" s="27" t="s">
        <v>66</v>
      </c>
    </row>
    <row r="864" ht="15.75" customHeight="1">
      <c r="A864" s="55"/>
      <c r="B864" s="72"/>
      <c r="D864" s="72"/>
      <c r="E864" s="72"/>
      <c r="J864" s="27" t="s">
        <v>66</v>
      </c>
    </row>
    <row r="865" ht="15.75" customHeight="1">
      <c r="A865" s="55"/>
      <c r="B865" s="72"/>
      <c r="D865" s="72"/>
      <c r="E865" s="72"/>
      <c r="J865" s="27" t="s">
        <v>66</v>
      </c>
    </row>
    <row r="866" ht="15.75" customHeight="1">
      <c r="A866" s="55"/>
      <c r="B866" s="72"/>
      <c r="D866" s="72"/>
      <c r="E866" s="72"/>
      <c r="J866" s="27" t="s">
        <v>66</v>
      </c>
    </row>
    <row r="867" ht="15.75" customHeight="1">
      <c r="A867" s="55"/>
      <c r="B867" s="72"/>
      <c r="D867" s="72"/>
      <c r="E867" s="72"/>
      <c r="J867" s="27" t="s">
        <v>66</v>
      </c>
    </row>
    <row r="868" ht="15.75" customHeight="1">
      <c r="A868" s="55"/>
      <c r="B868" s="72"/>
      <c r="D868" s="72"/>
      <c r="E868" s="72"/>
      <c r="J868" s="27" t="s">
        <v>66</v>
      </c>
    </row>
    <row r="869" ht="15.75" customHeight="1">
      <c r="A869" s="55"/>
      <c r="B869" s="72"/>
      <c r="D869" s="72"/>
      <c r="E869" s="72"/>
      <c r="J869" s="27" t="s">
        <v>66</v>
      </c>
    </row>
    <row r="870" ht="15.75" customHeight="1">
      <c r="A870" s="55"/>
      <c r="B870" s="72"/>
      <c r="D870" s="72"/>
      <c r="E870" s="72"/>
      <c r="J870" s="27" t="s">
        <v>66</v>
      </c>
    </row>
    <row r="871" ht="15.75" customHeight="1">
      <c r="A871" s="55"/>
      <c r="B871" s="72"/>
      <c r="D871" s="72"/>
      <c r="E871" s="72"/>
      <c r="J871" s="27" t="s">
        <v>66</v>
      </c>
    </row>
    <row r="872" ht="15.75" customHeight="1">
      <c r="A872" s="55"/>
      <c r="B872" s="72"/>
      <c r="D872" s="72"/>
      <c r="E872" s="72"/>
      <c r="J872" s="27" t="s">
        <v>66</v>
      </c>
    </row>
    <row r="873" ht="15.75" customHeight="1">
      <c r="A873" s="55"/>
      <c r="B873" s="72"/>
      <c r="D873" s="72"/>
      <c r="E873" s="72"/>
      <c r="J873" s="27" t="s">
        <v>66</v>
      </c>
    </row>
    <row r="874" ht="15.75" customHeight="1">
      <c r="A874" s="55"/>
      <c r="B874" s="72"/>
      <c r="D874" s="72"/>
      <c r="E874" s="72"/>
      <c r="J874" s="27" t="s">
        <v>66</v>
      </c>
    </row>
    <row r="875" ht="15.75" customHeight="1">
      <c r="A875" s="55"/>
      <c r="B875" s="72"/>
      <c r="D875" s="72"/>
      <c r="E875" s="72"/>
      <c r="J875" s="27" t="s">
        <v>66</v>
      </c>
    </row>
    <row r="876" ht="15.75" customHeight="1">
      <c r="A876" s="55"/>
      <c r="B876" s="72"/>
      <c r="D876" s="72"/>
      <c r="E876" s="72"/>
      <c r="J876" s="27" t="s">
        <v>66</v>
      </c>
    </row>
    <row r="877" ht="15.75" customHeight="1">
      <c r="A877" s="55"/>
      <c r="B877" s="72"/>
      <c r="D877" s="72"/>
      <c r="E877" s="72"/>
      <c r="J877" s="27" t="s">
        <v>66</v>
      </c>
    </row>
    <row r="878" ht="15.75" customHeight="1">
      <c r="A878" s="55"/>
      <c r="B878" s="72"/>
      <c r="D878" s="72"/>
      <c r="E878" s="72"/>
      <c r="J878" s="27" t="s">
        <v>66</v>
      </c>
    </row>
    <row r="879" ht="15.75" customHeight="1">
      <c r="A879" s="55"/>
      <c r="B879" s="72"/>
      <c r="D879" s="72"/>
      <c r="E879" s="72"/>
      <c r="J879" s="27" t="s">
        <v>66</v>
      </c>
    </row>
    <row r="880" ht="15.75" customHeight="1">
      <c r="A880" s="55"/>
      <c r="B880" s="72"/>
      <c r="D880" s="72"/>
      <c r="E880" s="72"/>
      <c r="J880" s="27" t="s">
        <v>66</v>
      </c>
    </row>
    <row r="881" ht="15.75" customHeight="1">
      <c r="A881" s="55"/>
      <c r="B881" s="72"/>
      <c r="D881" s="72"/>
      <c r="E881" s="72"/>
      <c r="J881" s="27" t="s">
        <v>66</v>
      </c>
    </row>
    <row r="882" ht="15.75" customHeight="1">
      <c r="A882" s="55"/>
      <c r="B882" s="72"/>
      <c r="D882" s="72"/>
      <c r="E882" s="72"/>
      <c r="J882" s="27" t="s">
        <v>66</v>
      </c>
    </row>
    <row r="883" ht="15.75" customHeight="1">
      <c r="A883" s="55"/>
      <c r="B883" s="72"/>
      <c r="D883" s="72"/>
      <c r="E883" s="72"/>
      <c r="J883" s="27" t="s">
        <v>66</v>
      </c>
    </row>
    <row r="884" ht="15.75" customHeight="1">
      <c r="A884" s="55"/>
      <c r="B884" s="72"/>
      <c r="D884" s="72"/>
      <c r="E884" s="72"/>
      <c r="J884" s="27" t="s">
        <v>66</v>
      </c>
    </row>
    <row r="885" ht="15.75" customHeight="1">
      <c r="A885" s="55"/>
      <c r="B885" s="72"/>
      <c r="D885" s="72"/>
      <c r="E885" s="72"/>
      <c r="J885" s="27" t="s">
        <v>66</v>
      </c>
    </row>
    <row r="886" ht="15.75" customHeight="1">
      <c r="A886" s="55"/>
      <c r="B886" s="72"/>
      <c r="D886" s="72"/>
      <c r="E886" s="72"/>
      <c r="J886" s="27" t="s">
        <v>66</v>
      </c>
    </row>
    <row r="887" ht="15.75" customHeight="1">
      <c r="A887" s="55"/>
      <c r="B887" s="72"/>
      <c r="D887" s="72"/>
      <c r="E887" s="72"/>
      <c r="J887" s="27" t="s">
        <v>66</v>
      </c>
    </row>
    <row r="888" ht="15.75" customHeight="1">
      <c r="A888" s="55"/>
      <c r="B888" s="72"/>
      <c r="D888" s="72"/>
      <c r="E888" s="72"/>
      <c r="J888" s="27" t="s">
        <v>66</v>
      </c>
    </row>
    <row r="889" ht="15.75" customHeight="1">
      <c r="A889" s="55"/>
      <c r="B889" s="72"/>
      <c r="D889" s="72"/>
      <c r="E889" s="72"/>
      <c r="J889" s="27" t="s">
        <v>66</v>
      </c>
    </row>
    <row r="890" ht="15.75" customHeight="1">
      <c r="A890" s="55"/>
      <c r="B890" s="72"/>
      <c r="D890" s="72"/>
      <c r="E890" s="72"/>
      <c r="J890" s="27" t="s">
        <v>66</v>
      </c>
    </row>
    <row r="891" ht="15.75" customHeight="1">
      <c r="A891" s="55"/>
      <c r="B891" s="72"/>
      <c r="D891" s="72"/>
      <c r="E891" s="72"/>
      <c r="J891" s="27" t="s">
        <v>66</v>
      </c>
    </row>
    <row r="892" ht="15.75" customHeight="1">
      <c r="A892" s="55"/>
      <c r="B892" s="72"/>
      <c r="D892" s="72"/>
      <c r="E892" s="72"/>
      <c r="J892" s="27" t="s">
        <v>66</v>
      </c>
    </row>
    <row r="893" ht="15.75" customHeight="1">
      <c r="A893" s="55"/>
      <c r="B893" s="72"/>
      <c r="D893" s="72"/>
      <c r="E893" s="72"/>
      <c r="J893" s="27" t="s">
        <v>66</v>
      </c>
    </row>
    <row r="894" ht="15.75" customHeight="1">
      <c r="A894" s="55"/>
      <c r="B894" s="72"/>
      <c r="D894" s="72"/>
      <c r="E894" s="72"/>
      <c r="J894" s="27" t="s">
        <v>66</v>
      </c>
    </row>
    <row r="895" ht="15.75" customHeight="1">
      <c r="A895" s="55"/>
      <c r="B895" s="72"/>
      <c r="D895" s="72"/>
      <c r="E895" s="72"/>
      <c r="J895" s="27" t="s">
        <v>66</v>
      </c>
    </row>
    <row r="896" ht="15.75" customHeight="1">
      <c r="A896" s="55"/>
      <c r="B896" s="72"/>
      <c r="D896" s="72"/>
      <c r="E896" s="72"/>
      <c r="J896" s="27" t="s">
        <v>66</v>
      </c>
    </row>
    <row r="897" ht="15.75" customHeight="1">
      <c r="A897" s="55"/>
      <c r="B897" s="72"/>
      <c r="D897" s="72"/>
      <c r="E897" s="72"/>
      <c r="J897" s="27" t="s">
        <v>66</v>
      </c>
    </row>
    <row r="898" ht="15.75" customHeight="1">
      <c r="A898" s="55"/>
      <c r="B898" s="72"/>
      <c r="D898" s="72"/>
      <c r="E898" s="72"/>
      <c r="J898" s="27" t="s">
        <v>66</v>
      </c>
    </row>
    <row r="899" ht="15.75" customHeight="1">
      <c r="A899" s="55"/>
      <c r="B899" s="72"/>
      <c r="D899" s="72"/>
      <c r="E899" s="72"/>
      <c r="J899" s="27" t="s">
        <v>66</v>
      </c>
    </row>
    <row r="900" ht="15.75" customHeight="1">
      <c r="A900" s="55"/>
      <c r="B900" s="72"/>
      <c r="D900" s="72"/>
      <c r="E900" s="72"/>
      <c r="J900" s="27" t="s">
        <v>66</v>
      </c>
    </row>
    <row r="901" ht="15.75" customHeight="1">
      <c r="A901" s="55"/>
      <c r="B901" s="72"/>
      <c r="D901" s="72"/>
      <c r="E901" s="72"/>
      <c r="J901" s="27" t="s">
        <v>66</v>
      </c>
    </row>
    <row r="902" ht="15.75" customHeight="1">
      <c r="A902" s="55"/>
      <c r="B902" s="72"/>
      <c r="D902" s="72"/>
      <c r="E902" s="72"/>
      <c r="J902" s="27" t="s">
        <v>66</v>
      </c>
    </row>
    <row r="903" ht="15.75" customHeight="1">
      <c r="A903" s="55"/>
      <c r="B903" s="72"/>
      <c r="D903" s="72"/>
      <c r="E903" s="72"/>
      <c r="J903" s="27" t="s">
        <v>66</v>
      </c>
    </row>
    <row r="904" ht="15.75" customHeight="1">
      <c r="A904" s="55"/>
      <c r="B904" s="72"/>
      <c r="D904" s="72"/>
      <c r="E904" s="72"/>
      <c r="J904" s="27" t="s">
        <v>66</v>
      </c>
    </row>
    <row r="905" ht="15.75" customHeight="1">
      <c r="A905" s="55"/>
      <c r="B905" s="72"/>
      <c r="D905" s="72"/>
      <c r="E905" s="72"/>
      <c r="J905" s="27" t="s">
        <v>66</v>
      </c>
    </row>
    <row r="906" ht="15.75" customHeight="1">
      <c r="A906" s="55"/>
      <c r="B906" s="72"/>
      <c r="D906" s="72"/>
      <c r="E906" s="72"/>
      <c r="J906" s="27" t="s">
        <v>66</v>
      </c>
    </row>
    <row r="907" ht="15.75" customHeight="1">
      <c r="A907" s="55"/>
      <c r="B907" s="72"/>
      <c r="D907" s="72"/>
      <c r="E907" s="72"/>
      <c r="J907" s="27" t="s">
        <v>66</v>
      </c>
    </row>
    <row r="908" ht="15.75" customHeight="1">
      <c r="A908" s="55"/>
      <c r="B908" s="72"/>
      <c r="D908" s="72"/>
      <c r="E908" s="72"/>
      <c r="J908" s="27" t="s">
        <v>66</v>
      </c>
    </row>
    <row r="909" ht="15.75" customHeight="1">
      <c r="A909" s="55"/>
      <c r="B909" s="72"/>
      <c r="D909" s="72"/>
      <c r="E909" s="72"/>
      <c r="J909" s="27" t="s">
        <v>66</v>
      </c>
    </row>
    <row r="910" ht="15.75" customHeight="1">
      <c r="A910" s="55"/>
      <c r="B910" s="72"/>
      <c r="D910" s="72"/>
      <c r="E910" s="72"/>
      <c r="J910" s="27" t="s">
        <v>66</v>
      </c>
    </row>
    <row r="911" ht="15.75" customHeight="1">
      <c r="A911" s="55"/>
      <c r="B911" s="72"/>
      <c r="D911" s="72"/>
      <c r="E911" s="72"/>
      <c r="J911" s="27" t="s">
        <v>66</v>
      </c>
    </row>
    <row r="912" ht="15.75" customHeight="1">
      <c r="A912" s="55"/>
      <c r="B912" s="72"/>
      <c r="D912" s="72"/>
      <c r="E912" s="72"/>
      <c r="J912" s="27" t="s">
        <v>66</v>
      </c>
    </row>
    <row r="913" ht="15.75" customHeight="1">
      <c r="A913" s="55"/>
      <c r="B913" s="72"/>
      <c r="D913" s="72"/>
      <c r="E913" s="72"/>
      <c r="J913" s="27" t="s">
        <v>66</v>
      </c>
    </row>
    <row r="914" ht="15.75" customHeight="1">
      <c r="A914" s="55"/>
      <c r="B914" s="72"/>
      <c r="D914" s="72"/>
      <c r="E914" s="72"/>
      <c r="J914" s="27" t="s">
        <v>66</v>
      </c>
    </row>
    <row r="915" ht="15.75" customHeight="1">
      <c r="A915" s="55"/>
      <c r="B915" s="72"/>
      <c r="D915" s="72"/>
      <c r="E915" s="72"/>
      <c r="J915" s="27" t="s">
        <v>66</v>
      </c>
    </row>
    <row r="916" ht="15.75" customHeight="1">
      <c r="A916" s="55"/>
      <c r="B916" s="72"/>
      <c r="D916" s="72"/>
      <c r="E916" s="72"/>
      <c r="J916" s="27" t="s">
        <v>66</v>
      </c>
    </row>
    <row r="917" ht="15.75" customHeight="1">
      <c r="A917" s="55"/>
      <c r="B917" s="72"/>
      <c r="D917" s="72"/>
      <c r="E917" s="72"/>
      <c r="J917" s="27" t="s">
        <v>66</v>
      </c>
    </row>
    <row r="918" ht="15.75" customHeight="1">
      <c r="A918" s="55"/>
      <c r="B918" s="72"/>
      <c r="D918" s="72"/>
      <c r="E918" s="72"/>
      <c r="J918" s="27" t="s">
        <v>66</v>
      </c>
    </row>
    <row r="919" ht="15.75" customHeight="1">
      <c r="A919" s="55"/>
      <c r="B919" s="72"/>
      <c r="D919" s="72"/>
      <c r="E919" s="72"/>
      <c r="J919" s="27" t="s">
        <v>66</v>
      </c>
    </row>
    <row r="920" ht="15.75" customHeight="1">
      <c r="A920" s="55"/>
      <c r="B920" s="72"/>
      <c r="D920" s="72"/>
      <c r="E920" s="72"/>
      <c r="J920" s="27" t="s">
        <v>66</v>
      </c>
    </row>
    <row r="921" ht="15.75" customHeight="1">
      <c r="A921" s="55"/>
      <c r="B921" s="72"/>
      <c r="D921" s="72"/>
      <c r="E921" s="72"/>
      <c r="J921" s="27" t="s">
        <v>66</v>
      </c>
    </row>
    <row r="922" ht="15.75" customHeight="1">
      <c r="A922" s="55"/>
      <c r="B922" s="72"/>
      <c r="D922" s="72"/>
      <c r="E922" s="72"/>
      <c r="J922" s="27" t="s">
        <v>66</v>
      </c>
    </row>
    <row r="923" ht="15.75" customHeight="1">
      <c r="A923" s="55"/>
      <c r="B923" s="72"/>
      <c r="D923" s="72"/>
      <c r="E923" s="72"/>
      <c r="J923" s="27" t="s">
        <v>66</v>
      </c>
    </row>
    <row r="924" ht="15.75" customHeight="1">
      <c r="A924" s="55"/>
      <c r="B924" s="72"/>
      <c r="D924" s="72"/>
      <c r="E924" s="72"/>
      <c r="J924" s="27" t="s">
        <v>66</v>
      </c>
    </row>
    <row r="925" ht="15.75" customHeight="1">
      <c r="A925" s="55"/>
      <c r="B925" s="72"/>
      <c r="D925" s="72"/>
      <c r="E925" s="72"/>
      <c r="J925" s="27" t="s">
        <v>66</v>
      </c>
    </row>
    <row r="926" ht="15.75" customHeight="1">
      <c r="A926" s="55"/>
      <c r="B926" s="72"/>
      <c r="D926" s="72"/>
      <c r="E926" s="72"/>
      <c r="J926" s="27" t="s">
        <v>66</v>
      </c>
    </row>
    <row r="927" ht="15.75" customHeight="1">
      <c r="A927" s="55"/>
      <c r="B927" s="72"/>
      <c r="D927" s="72"/>
      <c r="E927" s="72"/>
      <c r="J927" s="27" t="s">
        <v>66</v>
      </c>
    </row>
    <row r="928" ht="15.75" customHeight="1">
      <c r="A928" s="55"/>
      <c r="B928" s="72"/>
      <c r="D928" s="72"/>
      <c r="E928" s="72"/>
      <c r="J928" s="27" t="s">
        <v>66</v>
      </c>
    </row>
    <row r="929" ht="15.75" customHeight="1">
      <c r="A929" s="55"/>
      <c r="B929" s="72"/>
      <c r="D929" s="72"/>
      <c r="E929" s="72"/>
      <c r="J929" s="27" t="s">
        <v>66</v>
      </c>
    </row>
    <row r="930" ht="15.75" customHeight="1">
      <c r="A930" s="55"/>
      <c r="B930" s="72"/>
      <c r="D930" s="72"/>
      <c r="E930" s="72"/>
      <c r="J930" s="27" t="s">
        <v>66</v>
      </c>
    </row>
    <row r="931" ht="15.75" customHeight="1">
      <c r="A931" s="55"/>
      <c r="B931" s="72"/>
      <c r="D931" s="72"/>
      <c r="E931" s="72"/>
      <c r="J931" s="27" t="s">
        <v>66</v>
      </c>
    </row>
    <row r="932" ht="15.75" customHeight="1">
      <c r="A932" s="55"/>
      <c r="B932" s="72"/>
      <c r="D932" s="72"/>
      <c r="E932" s="72"/>
      <c r="J932" s="27" t="s">
        <v>66</v>
      </c>
    </row>
    <row r="933" ht="15.75" customHeight="1">
      <c r="A933" s="55"/>
      <c r="B933" s="72"/>
      <c r="D933" s="72"/>
      <c r="E933" s="72"/>
      <c r="J933" s="27" t="s">
        <v>66</v>
      </c>
    </row>
    <row r="934" ht="15.75" customHeight="1">
      <c r="A934" s="55"/>
      <c r="B934" s="72"/>
      <c r="D934" s="72"/>
      <c r="E934" s="72"/>
      <c r="J934" s="27" t="s">
        <v>66</v>
      </c>
    </row>
    <row r="935" ht="15.75" customHeight="1">
      <c r="A935" s="55"/>
      <c r="B935" s="72"/>
      <c r="D935" s="72"/>
      <c r="E935" s="72"/>
      <c r="J935" s="27" t="s">
        <v>66</v>
      </c>
    </row>
    <row r="936" ht="15.75" customHeight="1">
      <c r="A936" s="55"/>
      <c r="B936" s="72"/>
      <c r="D936" s="72"/>
      <c r="E936" s="72"/>
      <c r="J936" s="27" t="s">
        <v>66</v>
      </c>
    </row>
    <row r="937" ht="15.75" customHeight="1">
      <c r="A937" s="55"/>
      <c r="B937" s="72"/>
      <c r="D937" s="72"/>
      <c r="E937" s="72"/>
      <c r="J937" s="27" t="s">
        <v>66</v>
      </c>
    </row>
    <row r="938" ht="15.75" customHeight="1">
      <c r="A938" s="55"/>
      <c r="B938" s="72"/>
      <c r="D938" s="72"/>
      <c r="E938" s="72"/>
      <c r="J938" s="27" t="s">
        <v>66</v>
      </c>
    </row>
    <row r="939" ht="15.75" customHeight="1">
      <c r="A939" s="55"/>
      <c r="B939" s="72"/>
      <c r="D939" s="72"/>
      <c r="E939" s="72"/>
      <c r="J939" s="27" t="s">
        <v>66</v>
      </c>
    </row>
    <row r="940" ht="15.75" customHeight="1">
      <c r="A940" s="55"/>
      <c r="B940" s="72"/>
      <c r="D940" s="72"/>
      <c r="E940" s="72"/>
      <c r="J940" s="27" t="s">
        <v>66</v>
      </c>
    </row>
    <row r="941" ht="15.75" customHeight="1">
      <c r="A941" s="55"/>
      <c r="B941" s="72"/>
      <c r="D941" s="72"/>
      <c r="E941" s="72"/>
      <c r="J941" s="27" t="s">
        <v>66</v>
      </c>
    </row>
    <row r="942" ht="15.75" customHeight="1">
      <c r="A942" s="55"/>
      <c r="B942" s="72"/>
      <c r="D942" s="72"/>
      <c r="E942" s="72"/>
      <c r="J942" s="27" t="s">
        <v>66</v>
      </c>
    </row>
    <row r="943" ht="15.75" customHeight="1">
      <c r="A943" s="55"/>
      <c r="B943" s="72"/>
      <c r="D943" s="72"/>
      <c r="E943" s="72"/>
      <c r="J943" s="27" t="s">
        <v>66</v>
      </c>
    </row>
    <row r="944" ht="15.75" customHeight="1">
      <c r="A944" s="55"/>
      <c r="B944" s="72"/>
      <c r="D944" s="72"/>
      <c r="E944" s="72"/>
      <c r="J944" s="27" t="s">
        <v>66</v>
      </c>
    </row>
    <row r="945" ht="15.75" customHeight="1">
      <c r="A945" s="55"/>
      <c r="B945" s="72"/>
      <c r="D945" s="72"/>
      <c r="E945" s="72"/>
      <c r="J945" s="27" t="s">
        <v>66</v>
      </c>
    </row>
    <row r="946" ht="15.75" customHeight="1">
      <c r="A946" s="55"/>
      <c r="B946" s="72"/>
      <c r="D946" s="72"/>
      <c r="E946" s="72"/>
      <c r="J946" s="27" t="s">
        <v>66</v>
      </c>
    </row>
    <row r="947" ht="15.75" customHeight="1">
      <c r="A947" s="55"/>
      <c r="B947" s="72"/>
      <c r="D947" s="72"/>
      <c r="E947" s="72"/>
      <c r="J947" s="27" t="s">
        <v>66</v>
      </c>
    </row>
    <row r="948" ht="15.75" customHeight="1">
      <c r="A948" s="55"/>
      <c r="B948" s="72"/>
      <c r="D948" s="72"/>
      <c r="E948" s="72"/>
      <c r="J948" s="27" t="s">
        <v>66</v>
      </c>
    </row>
    <row r="949" ht="15.75" customHeight="1">
      <c r="A949" s="55"/>
      <c r="B949" s="72"/>
      <c r="D949" s="72"/>
      <c r="E949" s="72"/>
      <c r="J949" s="27" t="s">
        <v>66</v>
      </c>
    </row>
    <row r="950" ht="15.75" customHeight="1">
      <c r="A950" s="55"/>
      <c r="B950" s="72"/>
      <c r="D950" s="72"/>
      <c r="E950" s="72"/>
      <c r="J950" s="27" t="s">
        <v>66</v>
      </c>
    </row>
    <row r="951" ht="15.75" customHeight="1">
      <c r="A951" s="55"/>
      <c r="B951" s="72"/>
      <c r="D951" s="72"/>
      <c r="E951" s="72"/>
      <c r="J951" s="27" t="s">
        <v>66</v>
      </c>
    </row>
    <row r="952" ht="15.75" customHeight="1">
      <c r="A952" s="55"/>
      <c r="B952" s="72"/>
      <c r="D952" s="72"/>
      <c r="E952" s="72"/>
      <c r="J952" s="27" t="s">
        <v>66</v>
      </c>
    </row>
    <row r="953" ht="15.75" customHeight="1">
      <c r="A953" s="55"/>
      <c r="B953" s="72"/>
      <c r="D953" s="72"/>
      <c r="E953" s="72"/>
      <c r="J953" s="27" t="s">
        <v>66</v>
      </c>
    </row>
    <row r="954" ht="15.75" customHeight="1">
      <c r="A954" s="55"/>
      <c r="B954" s="72"/>
      <c r="D954" s="72"/>
      <c r="E954" s="72"/>
      <c r="J954" s="27" t="s">
        <v>66</v>
      </c>
    </row>
    <row r="955" ht="15.75" customHeight="1">
      <c r="A955" s="55"/>
      <c r="B955" s="72"/>
      <c r="D955" s="72"/>
      <c r="E955" s="72"/>
      <c r="J955" s="27" t="s">
        <v>66</v>
      </c>
    </row>
    <row r="956" ht="15.75" customHeight="1">
      <c r="A956" s="55"/>
      <c r="B956" s="72"/>
      <c r="D956" s="72"/>
      <c r="E956" s="72"/>
      <c r="J956" s="27" t="s">
        <v>66</v>
      </c>
    </row>
    <row r="957" ht="15.75" customHeight="1">
      <c r="A957" s="55"/>
      <c r="B957" s="72"/>
      <c r="D957" s="72"/>
      <c r="E957" s="72"/>
      <c r="J957" s="27" t="s">
        <v>66</v>
      </c>
    </row>
    <row r="958" ht="15.75" customHeight="1">
      <c r="A958" s="55"/>
      <c r="B958" s="72"/>
      <c r="D958" s="72"/>
      <c r="E958" s="72"/>
      <c r="J958" s="27" t="s">
        <v>66</v>
      </c>
    </row>
    <row r="959" ht="15.75" customHeight="1">
      <c r="A959" s="55"/>
      <c r="B959" s="72"/>
      <c r="D959" s="72"/>
      <c r="E959" s="72"/>
      <c r="J959" s="27" t="s">
        <v>66</v>
      </c>
    </row>
    <row r="960" ht="15.75" customHeight="1">
      <c r="A960" s="55"/>
      <c r="B960" s="72"/>
      <c r="D960" s="72"/>
      <c r="E960" s="72"/>
      <c r="J960" s="27" t="s">
        <v>66</v>
      </c>
    </row>
    <row r="961" ht="15.75" customHeight="1">
      <c r="A961" s="55"/>
      <c r="B961" s="72"/>
      <c r="D961" s="72"/>
      <c r="E961" s="72"/>
      <c r="J961" s="27" t="s">
        <v>66</v>
      </c>
    </row>
    <row r="962" ht="15.75" customHeight="1">
      <c r="A962" s="55"/>
      <c r="B962" s="72"/>
      <c r="D962" s="72"/>
      <c r="E962" s="72"/>
      <c r="J962" s="27" t="s">
        <v>66</v>
      </c>
    </row>
    <row r="963" ht="15.75" customHeight="1">
      <c r="A963" s="55"/>
      <c r="B963" s="72"/>
      <c r="D963" s="72"/>
      <c r="E963" s="72"/>
      <c r="J963" s="27" t="s">
        <v>66</v>
      </c>
    </row>
    <row r="964" ht="15.75" customHeight="1">
      <c r="A964" s="55"/>
      <c r="B964" s="72"/>
      <c r="D964" s="72"/>
      <c r="E964" s="72"/>
      <c r="J964" s="27" t="s">
        <v>66</v>
      </c>
    </row>
    <row r="965" ht="15.75" customHeight="1">
      <c r="A965" s="55"/>
      <c r="B965" s="72"/>
      <c r="D965" s="72"/>
      <c r="E965" s="72"/>
      <c r="J965" s="27" t="s">
        <v>66</v>
      </c>
    </row>
    <row r="966" ht="15.75" customHeight="1">
      <c r="A966" s="55"/>
      <c r="B966" s="72"/>
      <c r="D966" s="72"/>
      <c r="E966" s="72"/>
      <c r="J966" s="27" t="s">
        <v>66</v>
      </c>
    </row>
    <row r="967" ht="15.75" customHeight="1">
      <c r="A967" s="55"/>
      <c r="B967" s="72"/>
      <c r="D967" s="72"/>
      <c r="E967" s="72"/>
      <c r="J967" s="27" t="s">
        <v>66</v>
      </c>
    </row>
    <row r="968" ht="15.75" customHeight="1">
      <c r="A968" s="55"/>
      <c r="B968" s="72"/>
      <c r="D968" s="72"/>
      <c r="E968" s="72"/>
      <c r="J968" s="27" t="s">
        <v>66</v>
      </c>
    </row>
    <row r="969" ht="15.75" customHeight="1">
      <c r="A969" s="55"/>
      <c r="B969" s="72"/>
      <c r="D969" s="72"/>
      <c r="E969" s="72"/>
      <c r="J969" s="27" t="s">
        <v>66</v>
      </c>
    </row>
    <row r="970" ht="15.75" customHeight="1">
      <c r="A970" s="55"/>
      <c r="B970" s="72"/>
      <c r="D970" s="72"/>
      <c r="E970" s="72"/>
      <c r="J970" s="27" t="s">
        <v>66</v>
      </c>
    </row>
    <row r="971" ht="15.75" customHeight="1">
      <c r="A971" s="55"/>
      <c r="B971" s="72"/>
      <c r="D971" s="72"/>
      <c r="E971" s="72"/>
      <c r="J971" s="27" t="s">
        <v>66</v>
      </c>
    </row>
    <row r="972" ht="15.75" customHeight="1">
      <c r="A972" s="55"/>
      <c r="B972" s="72"/>
      <c r="D972" s="72"/>
      <c r="E972" s="72"/>
      <c r="J972" s="27" t="s">
        <v>66</v>
      </c>
    </row>
    <row r="973" ht="15.75" customHeight="1">
      <c r="A973" s="55"/>
      <c r="B973" s="72"/>
      <c r="D973" s="72"/>
      <c r="E973" s="72"/>
      <c r="J973" s="27" t="s">
        <v>66</v>
      </c>
    </row>
    <row r="974" ht="15.75" customHeight="1">
      <c r="A974" s="55"/>
      <c r="B974" s="72"/>
      <c r="D974" s="72"/>
      <c r="E974" s="72"/>
      <c r="J974" s="27" t="s">
        <v>66</v>
      </c>
    </row>
    <row r="975" ht="15.75" customHeight="1">
      <c r="A975" s="55"/>
      <c r="B975" s="72"/>
      <c r="D975" s="72"/>
      <c r="E975" s="72"/>
      <c r="J975" s="27" t="s">
        <v>66</v>
      </c>
    </row>
    <row r="976" ht="15.75" customHeight="1">
      <c r="A976" s="55"/>
      <c r="B976" s="72"/>
      <c r="D976" s="72"/>
      <c r="E976" s="72"/>
      <c r="J976" s="27" t="s">
        <v>66</v>
      </c>
    </row>
    <row r="977" ht="15.75" customHeight="1">
      <c r="A977" s="55"/>
      <c r="B977" s="72"/>
      <c r="D977" s="72"/>
      <c r="E977" s="72"/>
      <c r="J977" s="27" t="s">
        <v>66</v>
      </c>
    </row>
    <row r="978" ht="15.75" customHeight="1">
      <c r="A978" s="55"/>
      <c r="B978" s="72"/>
      <c r="D978" s="72"/>
      <c r="E978" s="72"/>
      <c r="J978" s="27" t="s">
        <v>66</v>
      </c>
    </row>
    <row r="979" ht="15.75" customHeight="1">
      <c r="A979" s="55"/>
      <c r="B979" s="72"/>
      <c r="D979" s="72"/>
      <c r="E979" s="72"/>
      <c r="J979" s="27" t="s">
        <v>66</v>
      </c>
    </row>
    <row r="980" ht="15.75" customHeight="1">
      <c r="A980" s="55"/>
      <c r="B980" s="72"/>
      <c r="D980" s="72"/>
      <c r="E980" s="72"/>
      <c r="J980" s="27" t="s">
        <v>66</v>
      </c>
    </row>
    <row r="981" ht="15.75" customHeight="1">
      <c r="A981" s="55"/>
      <c r="B981" s="72"/>
      <c r="D981" s="72"/>
      <c r="E981" s="72"/>
      <c r="J981" s="27" t="s">
        <v>66</v>
      </c>
    </row>
    <row r="982" ht="15.75" customHeight="1">
      <c r="A982" s="55"/>
      <c r="B982" s="72"/>
      <c r="D982" s="72"/>
      <c r="E982" s="72"/>
      <c r="J982" s="27" t="s">
        <v>66</v>
      </c>
    </row>
    <row r="983" ht="15.75" customHeight="1">
      <c r="A983" s="55"/>
      <c r="B983" s="72"/>
      <c r="D983" s="72"/>
      <c r="E983" s="72"/>
      <c r="J983" s="27" t="s">
        <v>66</v>
      </c>
    </row>
    <row r="984" ht="15.75" customHeight="1">
      <c r="A984" s="55"/>
      <c r="B984" s="72"/>
      <c r="D984" s="72"/>
      <c r="E984" s="72"/>
      <c r="J984" s="27" t="s">
        <v>66</v>
      </c>
    </row>
    <row r="985" ht="15.75" customHeight="1">
      <c r="A985" s="55"/>
      <c r="B985" s="72"/>
      <c r="D985" s="72"/>
      <c r="E985" s="72"/>
      <c r="J985" s="27" t="s">
        <v>66</v>
      </c>
    </row>
    <row r="986" ht="15.75" customHeight="1">
      <c r="A986" s="55"/>
      <c r="B986" s="72"/>
      <c r="D986" s="72"/>
      <c r="E986" s="72"/>
      <c r="J986" s="27" t="s">
        <v>66</v>
      </c>
    </row>
    <row r="987" ht="15.75" customHeight="1">
      <c r="A987" s="55"/>
      <c r="B987" s="72"/>
      <c r="D987" s="72"/>
      <c r="E987" s="72"/>
      <c r="J987" s="55"/>
    </row>
    <row r="988" ht="15.75" customHeight="1">
      <c r="A988" s="55"/>
      <c r="B988" s="72"/>
      <c r="D988" s="72"/>
      <c r="E988" s="72"/>
      <c r="J988" s="55"/>
    </row>
    <row r="989" ht="15.75" customHeight="1">
      <c r="A989" s="55"/>
      <c r="B989" s="72"/>
      <c r="D989" s="72"/>
      <c r="E989" s="72"/>
      <c r="J989" s="55"/>
    </row>
    <row r="990" ht="15.75" customHeight="1">
      <c r="A990" s="55"/>
      <c r="B990" s="72"/>
      <c r="D990" s="72"/>
      <c r="E990" s="72"/>
      <c r="J990" s="55"/>
    </row>
    <row r="991" ht="15.75" customHeight="1">
      <c r="A991" s="55"/>
      <c r="B991" s="72"/>
      <c r="D991" s="72"/>
      <c r="E991" s="72"/>
      <c r="J991" s="55"/>
    </row>
    <row r="992" ht="15.75" customHeight="1">
      <c r="A992" s="55"/>
      <c r="B992" s="72"/>
      <c r="D992" s="72"/>
      <c r="E992" s="72"/>
      <c r="J992" s="55"/>
    </row>
    <row r="993" ht="15.75" customHeight="1">
      <c r="A993" s="55"/>
      <c r="B993" s="72"/>
      <c r="D993" s="72"/>
      <c r="E993" s="72"/>
      <c r="J993" s="55"/>
    </row>
    <row r="994" ht="15.75" customHeight="1">
      <c r="A994" s="55"/>
      <c r="B994" s="72"/>
      <c r="D994" s="72"/>
      <c r="E994" s="72"/>
      <c r="J994" s="55"/>
    </row>
    <row r="995" ht="15.75" customHeight="1">
      <c r="A995" s="55"/>
      <c r="B995" s="72"/>
      <c r="D995" s="72"/>
      <c r="E995" s="72"/>
      <c r="J995" s="55"/>
    </row>
    <row r="996" ht="15.75" customHeight="1">
      <c r="A996" s="55"/>
      <c r="B996" s="72"/>
      <c r="D996" s="72"/>
      <c r="E996" s="72"/>
      <c r="J996" s="55"/>
    </row>
    <row r="997" ht="15.75" customHeight="1">
      <c r="A997" s="55"/>
      <c r="B997" s="72"/>
      <c r="D997" s="72"/>
      <c r="E997" s="72"/>
      <c r="J997" s="55"/>
    </row>
    <row r="998" ht="15.75" customHeight="1">
      <c r="A998" s="55"/>
      <c r="B998" s="72"/>
      <c r="D998" s="72"/>
      <c r="E998" s="72"/>
      <c r="J998" s="55"/>
    </row>
    <row r="999" ht="15.75" customHeight="1">
      <c r="A999" s="55"/>
      <c r="B999" s="72"/>
      <c r="D999" s="72"/>
      <c r="E999" s="72"/>
      <c r="J999" s="55"/>
    </row>
    <row r="1000" ht="15.75" customHeight="1">
      <c r="A1000" s="55"/>
      <c r="B1000" s="72"/>
      <c r="D1000" s="72"/>
      <c r="E1000" s="72"/>
      <c r="J1000" s="55"/>
    </row>
  </sheetData>
  <conditionalFormatting sqref="C50">
    <cfRule type="containsText" dxfId="4" priority="1" operator="containsText" text="ACTION">
      <formula>NOT(ISERROR(SEARCH(("ACTION"),(C50))))</formula>
    </cfRule>
  </conditionalFormatting>
  <conditionalFormatting sqref="C50">
    <cfRule type="containsText" dxfId="5" priority="2" operator="containsText" text="IN PROGRESS">
      <formula>NOT(ISERROR(SEARCH(("IN PROGRESS"),(C50))))</formula>
    </cfRule>
  </conditionalFormatting>
  <conditionalFormatting sqref="C50">
    <cfRule type="containsText" dxfId="6" priority="3" operator="containsText" text="DUE TODAY">
      <formula>NOT(ISERROR(SEARCH(("DUE TODAY"),(C50))))</formula>
    </cfRule>
  </conditionalFormatting>
  <conditionalFormatting sqref="C49">
    <cfRule type="containsText" dxfId="4" priority="4" operator="containsText" text="ACTION">
      <formula>NOT(ISERROR(SEARCH(("ACTION"),(C49))))</formula>
    </cfRule>
  </conditionalFormatting>
  <conditionalFormatting sqref="C49">
    <cfRule type="containsText" dxfId="5" priority="5" operator="containsText" text="IN PROGRESS">
      <formula>NOT(ISERROR(SEARCH(("IN PROGRESS"),(C49))))</formula>
    </cfRule>
  </conditionalFormatting>
  <conditionalFormatting sqref="C49">
    <cfRule type="containsText" dxfId="6" priority="6" operator="containsText" text="DUE TODAY">
      <formula>NOT(ISERROR(SEARCH(("DUE TODAY"),(C49))))</formula>
    </cfRule>
  </conditionalFormatting>
  <conditionalFormatting sqref="C48">
    <cfRule type="containsText" dxfId="4" priority="7" operator="containsText" text="ACTION">
      <formula>NOT(ISERROR(SEARCH(("ACTION"),(C48))))</formula>
    </cfRule>
  </conditionalFormatting>
  <conditionalFormatting sqref="C48">
    <cfRule type="containsText" dxfId="5" priority="8" operator="containsText" text="IN PROGRESS">
      <formula>NOT(ISERROR(SEARCH(("IN PROGRESS"),(C48))))</formula>
    </cfRule>
  </conditionalFormatting>
  <conditionalFormatting sqref="C48">
    <cfRule type="containsText" dxfId="6" priority="9" operator="containsText" text="DUE TODAY">
      <formula>NOT(ISERROR(SEARCH(("DUE TODAY"),(C48))))</formula>
    </cfRule>
  </conditionalFormatting>
  <conditionalFormatting sqref="C47">
    <cfRule type="containsText" dxfId="4" priority="10" operator="containsText" text="ACTION">
      <formula>NOT(ISERROR(SEARCH(("ACTION"),(C47))))</formula>
    </cfRule>
  </conditionalFormatting>
  <conditionalFormatting sqref="C47">
    <cfRule type="containsText" dxfId="5" priority="11" operator="containsText" text="IN PROGRESS">
      <formula>NOT(ISERROR(SEARCH(("IN PROGRESS"),(C47))))</formula>
    </cfRule>
  </conditionalFormatting>
  <conditionalFormatting sqref="C47">
    <cfRule type="containsText" dxfId="6" priority="12" operator="containsText" text="DUE TODAY">
      <formula>NOT(ISERROR(SEARCH(("DUE TODAY"),(C47))))</formula>
    </cfRule>
  </conditionalFormatting>
  <conditionalFormatting sqref="C46">
    <cfRule type="containsText" dxfId="4" priority="13" operator="containsText" text="ACTION">
      <formula>NOT(ISERROR(SEARCH(("ACTION"),(C46))))</formula>
    </cfRule>
  </conditionalFormatting>
  <conditionalFormatting sqref="C46">
    <cfRule type="containsText" dxfId="5" priority="14" operator="containsText" text="IN PROGRESS">
      <formula>NOT(ISERROR(SEARCH(("IN PROGRESS"),(C46))))</formula>
    </cfRule>
  </conditionalFormatting>
  <conditionalFormatting sqref="C46">
    <cfRule type="containsText" dxfId="6" priority="15" operator="containsText" text="DUE TODAY">
      <formula>NOT(ISERROR(SEARCH(("DUE TODAY"),(C46))))</formula>
    </cfRule>
  </conditionalFormatting>
  <conditionalFormatting sqref="C45">
    <cfRule type="containsText" dxfId="4" priority="16" operator="containsText" text="ACTION">
      <formula>NOT(ISERROR(SEARCH(("ACTION"),(C45))))</formula>
    </cfRule>
  </conditionalFormatting>
  <conditionalFormatting sqref="C45">
    <cfRule type="containsText" dxfId="5" priority="17" operator="containsText" text="IN PROGRESS">
      <formula>NOT(ISERROR(SEARCH(("IN PROGRESS"),(C45))))</formula>
    </cfRule>
  </conditionalFormatting>
  <conditionalFormatting sqref="C45">
    <cfRule type="containsText" dxfId="6" priority="18" operator="containsText" text="DUE TODAY">
      <formula>NOT(ISERROR(SEARCH(("DUE TODAY"),(C45))))</formula>
    </cfRule>
  </conditionalFormatting>
  <conditionalFormatting sqref="C44">
    <cfRule type="containsText" dxfId="4" priority="19" operator="containsText" text="ACTION">
      <formula>NOT(ISERROR(SEARCH(("ACTION"),(C44))))</formula>
    </cfRule>
  </conditionalFormatting>
  <conditionalFormatting sqref="C44">
    <cfRule type="containsText" dxfId="5" priority="20" operator="containsText" text="IN PROGRESS">
      <formula>NOT(ISERROR(SEARCH(("IN PROGRESS"),(C44))))</formula>
    </cfRule>
  </conditionalFormatting>
  <conditionalFormatting sqref="C44">
    <cfRule type="containsText" dxfId="6" priority="21" operator="containsText" text="DUE TODAY">
      <formula>NOT(ISERROR(SEARCH(("DUE TODAY"),(C44))))</formula>
    </cfRule>
  </conditionalFormatting>
  <conditionalFormatting sqref="C43">
    <cfRule type="containsText" dxfId="4" priority="22" operator="containsText" text="ACTION">
      <formula>NOT(ISERROR(SEARCH(("ACTION"),(C43))))</formula>
    </cfRule>
  </conditionalFormatting>
  <conditionalFormatting sqref="C43">
    <cfRule type="containsText" dxfId="5" priority="23" operator="containsText" text="IN PROGRESS">
      <formula>NOT(ISERROR(SEARCH(("IN PROGRESS"),(C43))))</formula>
    </cfRule>
  </conditionalFormatting>
  <conditionalFormatting sqref="C43">
    <cfRule type="containsText" dxfId="6" priority="24" operator="containsText" text="DUE TODAY">
      <formula>NOT(ISERROR(SEARCH(("DUE TODAY"),(C43))))</formula>
    </cfRule>
  </conditionalFormatting>
  <conditionalFormatting sqref="C42">
    <cfRule type="containsText" dxfId="4" priority="25" operator="containsText" text="ACTION">
      <formula>NOT(ISERROR(SEARCH(("ACTION"),(C42))))</formula>
    </cfRule>
  </conditionalFormatting>
  <conditionalFormatting sqref="C42">
    <cfRule type="containsText" dxfId="5" priority="26" operator="containsText" text="IN PROGRESS">
      <formula>NOT(ISERROR(SEARCH(("IN PROGRESS"),(C42))))</formula>
    </cfRule>
  </conditionalFormatting>
  <conditionalFormatting sqref="C42">
    <cfRule type="containsText" dxfId="6" priority="27" operator="containsText" text="DUE TODAY">
      <formula>NOT(ISERROR(SEARCH(("DUE TODAY"),(C42))))</formula>
    </cfRule>
  </conditionalFormatting>
  <conditionalFormatting sqref="C41">
    <cfRule type="containsText" dxfId="4" priority="28" operator="containsText" text="ACTION">
      <formula>NOT(ISERROR(SEARCH(("ACTION"),(C41))))</formula>
    </cfRule>
  </conditionalFormatting>
  <conditionalFormatting sqref="C41">
    <cfRule type="containsText" dxfId="5" priority="29" operator="containsText" text="IN PROGRESS">
      <formula>NOT(ISERROR(SEARCH(("IN PROGRESS"),(C41))))</formula>
    </cfRule>
  </conditionalFormatting>
  <conditionalFormatting sqref="C41">
    <cfRule type="containsText" dxfId="6" priority="30" operator="containsText" text="DUE TODAY">
      <formula>NOT(ISERROR(SEARCH(("DUE TODAY"),(C41))))</formula>
    </cfRule>
  </conditionalFormatting>
  <conditionalFormatting sqref="C40">
    <cfRule type="containsText" dxfId="4" priority="31" operator="containsText" text="ACTION">
      <formula>NOT(ISERROR(SEARCH(("ACTION"),(C40))))</formula>
    </cfRule>
  </conditionalFormatting>
  <conditionalFormatting sqref="C40">
    <cfRule type="containsText" dxfId="5" priority="32" operator="containsText" text="IN PROGRESS">
      <formula>NOT(ISERROR(SEARCH(("IN PROGRESS"),(C40))))</formula>
    </cfRule>
  </conditionalFormatting>
  <conditionalFormatting sqref="C40">
    <cfRule type="containsText" dxfId="6" priority="33" operator="containsText" text="DUE TODAY">
      <formula>NOT(ISERROR(SEARCH(("DUE TODAY"),(C40))))</formula>
    </cfRule>
  </conditionalFormatting>
  <conditionalFormatting sqref="C39">
    <cfRule type="containsText" dxfId="4" priority="34" operator="containsText" text="ACTION">
      <formula>NOT(ISERROR(SEARCH(("ACTION"),(C39))))</formula>
    </cfRule>
  </conditionalFormatting>
  <conditionalFormatting sqref="C39">
    <cfRule type="containsText" dxfId="5" priority="35" operator="containsText" text="IN PROGRESS">
      <formula>NOT(ISERROR(SEARCH(("IN PROGRESS"),(C39))))</formula>
    </cfRule>
  </conditionalFormatting>
  <conditionalFormatting sqref="C39">
    <cfRule type="containsText" dxfId="6" priority="36" operator="containsText" text="DUE TODAY">
      <formula>NOT(ISERROR(SEARCH(("DUE TODAY"),(C39))))</formula>
    </cfRule>
  </conditionalFormatting>
  <conditionalFormatting sqref="C38">
    <cfRule type="containsText" dxfId="4" priority="37" operator="containsText" text="ACTION">
      <formula>NOT(ISERROR(SEARCH(("ACTION"),(C38))))</formula>
    </cfRule>
  </conditionalFormatting>
  <conditionalFormatting sqref="C38">
    <cfRule type="containsText" dxfId="5" priority="38" operator="containsText" text="IN PROGRESS">
      <formula>NOT(ISERROR(SEARCH(("IN PROGRESS"),(C38))))</formula>
    </cfRule>
  </conditionalFormatting>
  <conditionalFormatting sqref="C38">
    <cfRule type="containsText" dxfId="6" priority="39" operator="containsText" text="DUE TODAY">
      <formula>NOT(ISERROR(SEARCH(("DUE TODAY"),(C38))))</formula>
    </cfRule>
  </conditionalFormatting>
  <conditionalFormatting sqref="C37">
    <cfRule type="containsText" dxfId="4" priority="40" operator="containsText" text="ACTION">
      <formula>NOT(ISERROR(SEARCH(("ACTION"),(C37))))</formula>
    </cfRule>
  </conditionalFormatting>
  <conditionalFormatting sqref="C37">
    <cfRule type="containsText" dxfId="5" priority="41" operator="containsText" text="IN PROGRESS">
      <formula>NOT(ISERROR(SEARCH(("IN PROGRESS"),(C37))))</formula>
    </cfRule>
  </conditionalFormatting>
  <conditionalFormatting sqref="C37">
    <cfRule type="containsText" dxfId="6" priority="42" operator="containsText" text="DUE TODAY">
      <formula>NOT(ISERROR(SEARCH(("DUE TODAY"),(C37))))</formula>
    </cfRule>
  </conditionalFormatting>
  <conditionalFormatting sqref="C36">
    <cfRule type="containsText" dxfId="4" priority="43" operator="containsText" text="ACTION">
      <formula>NOT(ISERROR(SEARCH(("ACTION"),(C36))))</formula>
    </cfRule>
  </conditionalFormatting>
  <conditionalFormatting sqref="C36">
    <cfRule type="containsText" dxfId="5" priority="44" operator="containsText" text="IN PROGRESS">
      <formula>NOT(ISERROR(SEARCH(("IN PROGRESS"),(C36))))</formula>
    </cfRule>
  </conditionalFormatting>
  <conditionalFormatting sqref="C36">
    <cfRule type="containsText" dxfId="6" priority="45" operator="containsText" text="DUE TODAY">
      <formula>NOT(ISERROR(SEARCH(("DUE TODAY"),(C36))))</formula>
    </cfRule>
  </conditionalFormatting>
  <conditionalFormatting sqref="C35">
    <cfRule type="containsText" dxfId="4" priority="46" operator="containsText" text="ACTION">
      <formula>NOT(ISERROR(SEARCH(("ACTION"),(C35))))</formula>
    </cfRule>
  </conditionalFormatting>
  <conditionalFormatting sqref="C35">
    <cfRule type="containsText" dxfId="5" priority="47" operator="containsText" text="IN PROGRESS">
      <formula>NOT(ISERROR(SEARCH(("IN PROGRESS"),(C35))))</formula>
    </cfRule>
  </conditionalFormatting>
  <conditionalFormatting sqref="C35">
    <cfRule type="containsText" dxfId="6" priority="48" operator="containsText" text="DUE TODAY">
      <formula>NOT(ISERROR(SEARCH(("DUE TODAY"),(C35))))</formula>
    </cfRule>
  </conditionalFormatting>
  <conditionalFormatting sqref="C34">
    <cfRule type="containsText" dxfId="4" priority="49" operator="containsText" text="ACTION">
      <formula>NOT(ISERROR(SEARCH(("ACTION"),(C34))))</formula>
    </cfRule>
  </conditionalFormatting>
  <conditionalFormatting sqref="C34">
    <cfRule type="containsText" dxfId="5" priority="50" operator="containsText" text="IN PROGRESS">
      <formula>NOT(ISERROR(SEARCH(("IN PROGRESS"),(C34))))</formula>
    </cfRule>
  </conditionalFormatting>
  <conditionalFormatting sqref="C34">
    <cfRule type="containsText" dxfId="6" priority="51" operator="containsText" text="DUE TODAY">
      <formula>NOT(ISERROR(SEARCH(("DUE TODAY"),(C34))))</formula>
    </cfRule>
  </conditionalFormatting>
  <conditionalFormatting sqref="C27">
    <cfRule type="containsText" dxfId="4" priority="52" operator="containsText" text="ACTION">
      <formula>NOT(ISERROR(SEARCH(("ACTION"),(C27))))</formula>
    </cfRule>
  </conditionalFormatting>
  <conditionalFormatting sqref="C27">
    <cfRule type="containsText" dxfId="5" priority="53" operator="containsText" text="IN PROGRESS">
      <formula>NOT(ISERROR(SEARCH(("IN PROGRESS"),(C27))))</formula>
    </cfRule>
  </conditionalFormatting>
  <conditionalFormatting sqref="C27">
    <cfRule type="containsText" dxfId="6" priority="54" operator="containsText" text="DUE TODAY">
      <formula>NOT(ISERROR(SEARCH(("DUE TODAY"),(C27))))</formula>
    </cfRule>
  </conditionalFormatting>
  <conditionalFormatting sqref="C26">
    <cfRule type="containsText" dxfId="4" priority="55" operator="containsText" text="ACTION">
      <formula>NOT(ISERROR(SEARCH(("ACTION"),(C26))))</formula>
    </cfRule>
  </conditionalFormatting>
  <conditionalFormatting sqref="C26">
    <cfRule type="containsText" dxfId="5" priority="56" operator="containsText" text="IN PROGRESS">
      <formula>NOT(ISERROR(SEARCH(("IN PROGRESS"),(C26))))</formula>
    </cfRule>
  </conditionalFormatting>
  <conditionalFormatting sqref="C26">
    <cfRule type="containsText" dxfId="6" priority="57" operator="containsText" text="DUE TODAY">
      <formula>NOT(ISERROR(SEARCH(("DUE TODAY"),(C26))))</formula>
    </cfRule>
  </conditionalFormatting>
  <conditionalFormatting sqref="C25">
    <cfRule type="containsText" dxfId="4" priority="58" operator="containsText" text="ACTION">
      <formula>NOT(ISERROR(SEARCH(("ACTION"),(C25))))</formula>
    </cfRule>
  </conditionalFormatting>
  <conditionalFormatting sqref="C25">
    <cfRule type="containsText" dxfId="5" priority="59" operator="containsText" text="IN PROGRESS">
      <formula>NOT(ISERROR(SEARCH(("IN PROGRESS"),(C25))))</formula>
    </cfRule>
  </conditionalFormatting>
  <conditionalFormatting sqref="C25">
    <cfRule type="containsText" dxfId="6" priority="60" operator="containsText" text="DUE TODAY">
      <formula>NOT(ISERROR(SEARCH(("DUE TODAY"),(C25))))</formula>
    </cfRule>
  </conditionalFormatting>
  <conditionalFormatting sqref="C24">
    <cfRule type="containsText" dxfId="4" priority="61" operator="containsText" text="ACTION">
      <formula>NOT(ISERROR(SEARCH(("ACTION"),(C24))))</formula>
    </cfRule>
  </conditionalFormatting>
  <conditionalFormatting sqref="C24">
    <cfRule type="containsText" dxfId="5" priority="62" operator="containsText" text="IN PROGRESS">
      <formula>NOT(ISERROR(SEARCH(("IN PROGRESS"),(C24))))</formula>
    </cfRule>
  </conditionalFormatting>
  <conditionalFormatting sqref="C24">
    <cfRule type="containsText" dxfId="6" priority="63" operator="containsText" text="DUE TODAY">
      <formula>NOT(ISERROR(SEARCH(("DUE TODAY"),(C24))))</formula>
    </cfRule>
  </conditionalFormatting>
  <conditionalFormatting sqref="C23">
    <cfRule type="containsText" dxfId="4" priority="64" operator="containsText" text="ACTION">
      <formula>NOT(ISERROR(SEARCH(("ACTION"),(C23))))</formula>
    </cfRule>
  </conditionalFormatting>
  <conditionalFormatting sqref="C23">
    <cfRule type="containsText" dxfId="5" priority="65" operator="containsText" text="IN PROGRESS">
      <formula>NOT(ISERROR(SEARCH(("IN PROGRESS"),(C23))))</formula>
    </cfRule>
  </conditionalFormatting>
  <conditionalFormatting sqref="C23">
    <cfRule type="containsText" dxfId="6" priority="66" operator="containsText" text="DUE TODAY">
      <formula>NOT(ISERROR(SEARCH(("DUE TODAY"),(C23))))</formula>
    </cfRule>
  </conditionalFormatting>
  <conditionalFormatting sqref="C22">
    <cfRule type="containsText" dxfId="4" priority="67" operator="containsText" text="ACTION">
      <formula>NOT(ISERROR(SEARCH(("ACTION"),(C22))))</formula>
    </cfRule>
  </conditionalFormatting>
  <conditionalFormatting sqref="C22">
    <cfRule type="containsText" dxfId="5" priority="68" operator="containsText" text="IN PROGRESS">
      <formula>NOT(ISERROR(SEARCH(("IN PROGRESS"),(C22))))</formula>
    </cfRule>
  </conditionalFormatting>
  <conditionalFormatting sqref="C22">
    <cfRule type="containsText" dxfId="6" priority="69" operator="containsText" text="DUE TODAY">
      <formula>NOT(ISERROR(SEARCH(("DUE TODAY"),(C22))))</formula>
    </cfRule>
  </conditionalFormatting>
  <conditionalFormatting sqref="C21">
    <cfRule type="containsText" dxfId="4" priority="70" operator="containsText" text="ACTION">
      <formula>NOT(ISERROR(SEARCH(("ACTION"),(C21))))</formula>
    </cfRule>
  </conditionalFormatting>
  <conditionalFormatting sqref="C21">
    <cfRule type="containsText" dxfId="5" priority="71" operator="containsText" text="IN PROGRESS">
      <formula>NOT(ISERROR(SEARCH(("IN PROGRESS"),(C21))))</formula>
    </cfRule>
  </conditionalFormatting>
  <conditionalFormatting sqref="C21">
    <cfRule type="containsText" dxfId="6" priority="72" operator="containsText" text="DUE TODAY">
      <formula>NOT(ISERROR(SEARCH(("DUE TODAY"),(C21))))</formula>
    </cfRule>
  </conditionalFormatting>
  <conditionalFormatting sqref="C20">
    <cfRule type="containsText" dxfId="4" priority="73" operator="containsText" text="ACTION">
      <formula>NOT(ISERROR(SEARCH(("ACTION"),(C20))))</formula>
    </cfRule>
  </conditionalFormatting>
  <conditionalFormatting sqref="C20">
    <cfRule type="containsText" dxfId="5" priority="74" operator="containsText" text="IN PROGRESS">
      <formula>NOT(ISERROR(SEARCH(("IN PROGRESS"),(C20))))</formula>
    </cfRule>
  </conditionalFormatting>
  <conditionalFormatting sqref="C20">
    <cfRule type="containsText" dxfId="6" priority="75" operator="containsText" text="DUE TODAY">
      <formula>NOT(ISERROR(SEARCH(("DUE TODAY"),(C20))))</formula>
    </cfRule>
  </conditionalFormatting>
  <conditionalFormatting sqref="C19">
    <cfRule type="containsText" dxfId="4" priority="76" operator="containsText" text="ACTION">
      <formula>NOT(ISERROR(SEARCH(("ACTION"),(C19))))</formula>
    </cfRule>
  </conditionalFormatting>
  <conditionalFormatting sqref="C19">
    <cfRule type="containsText" dxfId="5" priority="77" operator="containsText" text="IN PROGRESS">
      <formula>NOT(ISERROR(SEARCH(("IN PROGRESS"),(C19))))</formula>
    </cfRule>
  </conditionalFormatting>
  <conditionalFormatting sqref="C19">
    <cfRule type="containsText" dxfId="6" priority="78" operator="containsText" text="DUE TODAY">
      <formula>NOT(ISERROR(SEARCH(("DUE TODAY"),(C19))))</formula>
    </cfRule>
  </conditionalFormatting>
  <conditionalFormatting sqref="C18">
    <cfRule type="containsText" dxfId="4" priority="79" operator="containsText" text="ACTION">
      <formula>NOT(ISERROR(SEARCH(("ACTION"),(C18))))</formula>
    </cfRule>
  </conditionalFormatting>
  <conditionalFormatting sqref="C18">
    <cfRule type="containsText" dxfId="5" priority="80" operator="containsText" text="IN PROGRESS">
      <formula>NOT(ISERROR(SEARCH(("IN PROGRESS"),(C18))))</formula>
    </cfRule>
  </conditionalFormatting>
  <conditionalFormatting sqref="C18">
    <cfRule type="containsText" dxfId="6" priority="81" operator="containsText" text="DUE TODAY">
      <formula>NOT(ISERROR(SEARCH(("DUE TODAY"),(C18))))</formula>
    </cfRule>
  </conditionalFormatting>
  <conditionalFormatting sqref="C17">
    <cfRule type="containsText" dxfId="4" priority="82" operator="containsText" text="ACTION">
      <formula>NOT(ISERROR(SEARCH(("ACTION"),(C17))))</formula>
    </cfRule>
  </conditionalFormatting>
  <conditionalFormatting sqref="C17">
    <cfRule type="containsText" dxfId="5" priority="83" operator="containsText" text="IN PROGRESS">
      <formula>NOT(ISERROR(SEARCH(("IN PROGRESS"),(C17))))</formula>
    </cfRule>
  </conditionalFormatting>
  <conditionalFormatting sqref="C17">
    <cfRule type="containsText" dxfId="6" priority="84" operator="containsText" text="DUE TODAY">
      <formula>NOT(ISERROR(SEARCH(("DUE TODAY"),(C17))))</formula>
    </cfRule>
  </conditionalFormatting>
  <conditionalFormatting sqref="C16">
    <cfRule type="containsText" dxfId="4" priority="85" operator="containsText" text="ACTION">
      <formula>NOT(ISERROR(SEARCH(("ACTION"),(C16))))</formula>
    </cfRule>
  </conditionalFormatting>
  <conditionalFormatting sqref="C16">
    <cfRule type="containsText" dxfId="5" priority="86" operator="containsText" text="IN PROGRESS">
      <formula>NOT(ISERROR(SEARCH(("IN PROGRESS"),(C16))))</formula>
    </cfRule>
  </conditionalFormatting>
  <conditionalFormatting sqref="C16">
    <cfRule type="containsText" dxfId="6" priority="87" operator="containsText" text="DUE TODAY">
      <formula>NOT(ISERROR(SEARCH(("DUE TODAY"),(C16))))</formula>
    </cfRule>
  </conditionalFormatting>
  <conditionalFormatting sqref="C15">
    <cfRule type="containsText" dxfId="4" priority="88" operator="containsText" text="ACTION">
      <formula>NOT(ISERROR(SEARCH(("ACTION"),(C15))))</formula>
    </cfRule>
  </conditionalFormatting>
  <conditionalFormatting sqref="C15">
    <cfRule type="containsText" dxfId="5" priority="89" operator="containsText" text="IN PROGRESS">
      <formula>NOT(ISERROR(SEARCH(("IN PROGRESS"),(C15))))</formula>
    </cfRule>
  </conditionalFormatting>
  <conditionalFormatting sqref="C15">
    <cfRule type="containsText" dxfId="6" priority="90" operator="containsText" text="DUE TODAY">
      <formula>NOT(ISERROR(SEARCH(("DUE TODAY"),(C15))))</formula>
    </cfRule>
  </conditionalFormatting>
  <conditionalFormatting sqref="C14">
    <cfRule type="containsText" dxfId="4" priority="91" operator="containsText" text="ACTION">
      <formula>NOT(ISERROR(SEARCH(("ACTION"),(C14))))</formula>
    </cfRule>
  </conditionalFormatting>
  <conditionalFormatting sqref="C14">
    <cfRule type="containsText" dxfId="5" priority="92" operator="containsText" text="IN PROGRESS">
      <formula>NOT(ISERROR(SEARCH(("IN PROGRESS"),(C14))))</formula>
    </cfRule>
  </conditionalFormatting>
  <conditionalFormatting sqref="C14">
    <cfRule type="containsText" dxfId="6" priority="93" operator="containsText" text="DUE TODAY">
      <formula>NOT(ISERROR(SEARCH(("DUE TODAY"),(C14))))</formula>
    </cfRule>
  </conditionalFormatting>
  <conditionalFormatting sqref="C13">
    <cfRule type="containsText" dxfId="4" priority="94" operator="containsText" text="ACTION">
      <formula>NOT(ISERROR(SEARCH(("ACTION"),(C13))))</formula>
    </cfRule>
  </conditionalFormatting>
  <conditionalFormatting sqref="C13">
    <cfRule type="containsText" dxfId="5" priority="95" operator="containsText" text="IN PROGRESS">
      <formula>NOT(ISERROR(SEARCH(("IN PROGRESS"),(C13))))</formula>
    </cfRule>
  </conditionalFormatting>
  <conditionalFormatting sqref="C13">
    <cfRule type="containsText" dxfId="6" priority="96" operator="containsText" text="DUE TODAY">
      <formula>NOT(ISERROR(SEARCH(("DUE TODAY"),(C13))))</formula>
    </cfRule>
  </conditionalFormatting>
  <conditionalFormatting sqref="C12">
    <cfRule type="containsText" dxfId="4" priority="97" operator="containsText" text="ACTION">
      <formula>NOT(ISERROR(SEARCH(("ACTION"),(C12))))</formula>
    </cfRule>
  </conditionalFormatting>
  <conditionalFormatting sqref="C12">
    <cfRule type="containsText" dxfId="5" priority="98" operator="containsText" text="IN PROGRESS">
      <formula>NOT(ISERROR(SEARCH(("IN PROGRESS"),(C12))))</formula>
    </cfRule>
  </conditionalFormatting>
  <conditionalFormatting sqref="C12">
    <cfRule type="containsText" dxfId="6" priority="99" operator="containsText" text="DUE TODAY">
      <formula>NOT(ISERROR(SEARCH(("DUE TODAY"),(C12))))</formula>
    </cfRule>
  </conditionalFormatting>
  <conditionalFormatting sqref="C11">
    <cfRule type="containsText" dxfId="4" priority="100" operator="containsText" text="ACTION">
      <formula>NOT(ISERROR(SEARCH(("ACTION"),(C11))))</formula>
    </cfRule>
  </conditionalFormatting>
  <conditionalFormatting sqref="C11">
    <cfRule type="containsText" dxfId="5" priority="101" operator="containsText" text="IN PROGRESS">
      <formula>NOT(ISERROR(SEARCH(("IN PROGRESS"),(C11))))</formula>
    </cfRule>
  </conditionalFormatting>
  <conditionalFormatting sqref="C11">
    <cfRule type="containsText" dxfId="6" priority="102" operator="containsText" text="DUE TODAY">
      <formula>NOT(ISERROR(SEARCH(("DUE TODAY"),(C11))))</formula>
    </cfRule>
  </conditionalFormatting>
  <conditionalFormatting sqref="C10">
    <cfRule type="containsText" dxfId="4" priority="103" operator="containsText" text="ACTION">
      <formula>NOT(ISERROR(SEARCH(("ACTION"),(C10))))</formula>
    </cfRule>
  </conditionalFormatting>
  <conditionalFormatting sqref="C10">
    <cfRule type="containsText" dxfId="5" priority="104" operator="containsText" text="IN PROGRESS">
      <formula>NOT(ISERROR(SEARCH(("IN PROGRESS"),(C10))))</formula>
    </cfRule>
  </conditionalFormatting>
  <conditionalFormatting sqref="C10">
    <cfRule type="containsText" dxfId="6" priority="105" operator="containsText" text="DUE TODAY">
      <formula>NOT(ISERROR(SEARCH(("DUE TODAY"),(C10))))</formula>
    </cfRule>
  </conditionalFormatting>
  <conditionalFormatting sqref="C9">
    <cfRule type="containsText" dxfId="4" priority="106" operator="containsText" text="ACTION">
      <formula>NOT(ISERROR(SEARCH(("ACTION"),(C9))))</formula>
    </cfRule>
  </conditionalFormatting>
  <conditionalFormatting sqref="C9">
    <cfRule type="containsText" dxfId="5" priority="107" operator="containsText" text="IN PROGRESS">
      <formula>NOT(ISERROR(SEARCH(("IN PROGRESS"),(C9))))</formula>
    </cfRule>
  </conditionalFormatting>
  <conditionalFormatting sqref="C9">
    <cfRule type="containsText" dxfId="6" priority="108" operator="containsText" text="DUE TODAY">
      <formula>NOT(ISERROR(SEARCH(("DUE TODAY"),(C9))))</formula>
    </cfRule>
  </conditionalFormatting>
  <conditionalFormatting sqref="C8">
    <cfRule type="containsText" dxfId="4" priority="109" operator="containsText" text="ACTION">
      <formula>NOT(ISERROR(SEARCH(("ACTION"),(C8))))</formula>
    </cfRule>
  </conditionalFormatting>
  <conditionalFormatting sqref="C8">
    <cfRule type="containsText" dxfId="5" priority="110" operator="containsText" text="IN PROGRESS">
      <formula>NOT(ISERROR(SEARCH(("IN PROGRESS"),(C8))))</formula>
    </cfRule>
  </conditionalFormatting>
  <conditionalFormatting sqref="C8">
    <cfRule type="containsText" dxfId="6" priority="111" operator="containsText" text="DUE TODAY">
      <formula>NOT(ISERROR(SEARCH(("DUE TODAY"),(C8))))</formula>
    </cfRule>
  </conditionalFormatting>
  <conditionalFormatting sqref="C7">
    <cfRule type="containsText" dxfId="4" priority="112" operator="containsText" text="ACTION">
      <formula>NOT(ISERROR(SEARCH(("ACTION"),(C7))))</formula>
    </cfRule>
  </conditionalFormatting>
  <conditionalFormatting sqref="C7">
    <cfRule type="containsText" dxfId="5" priority="113" operator="containsText" text="IN PROGRESS">
      <formula>NOT(ISERROR(SEARCH(("IN PROGRESS"),(C7))))</formula>
    </cfRule>
  </conditionalFormatting>
  <conditionalFormatting sqref="C7">
    <cfRule type="containsText" dxfId="6" priority="114" operator="containsText" text="DUE TODAY">
      <formula>NOT(ISERROR(SEARCH(("DUE TODAY"),(C7))))</formula>
    </cfRule>
  </conditionalFormatting>
  <conditionalFormatting sqref="C6">
    <cfRule type="containsText" dxfId="5" priority="115" operator="containsText" text="IN PROGRESS">
      <formula>NOT(ISERROR(SEARCH(("IN PROGRESS"),(C6))))</formula>
    </cfRule>
  </conditionalFormatting>
  <conditionalFormatting sqref="C6">
    <cfRule type="containsText" dxfId="6" priority="116" operator="containsText" text="DUE TODAY">
      <formula>NOT(ISERROR(SEARCH(("DUE TODAY"),(C6))))</formula>
    </cfRule>
  </conditionalFormatting>
  <conditionalFormatting sqref="C5">
    <cfRule type="containsText" dxfId="5" priority="117" operator="containsText" text="IN PROGRESS">
      <formula>NOT(ISERROR(SEARCH(("IN PROGRESS"),(C5))))</formula>
    </cfRule>
  </conditionalFormatting>
  <conditionalFormatting sqref="C5">
    <cfRule type="containsText" dxfId="6" priority="118" operator="containsText" text="DUE TODAY">
      <formula>NOT(ISERROR(SEARCH(("DUE TODAY"),(C5))))</formula>
    </cfRule>
  </conditionalFormatting>
  <conditionalFormatting sqref="C4">
    <cfRule type="containsText" dxfId="5" priority="119" operator="containsText" text="IN PROGRESS">
      <formula>NOT(ISERROR(SEARCH(("IN PROGRESS"),(C4))))</formula>
    </cfRule>
  </conditionalFormatting>
  <conditionalFormatting sqref="C4">
    <cfRule type="containsText" dxfId="6" priority="120" operator="containsText" text="DUE TODAY">
      <formula>NOT(ISERROR(SEARCH(("DUE TODAY"),(C4))))</formula>
    </cfRule>
  </conditionalFormatting>
  <conditionalFormatting sqref="C3:C133">
    <cfRule type="containsText" dxfId="5" priority="121" operator="containsText" text="IN PROGRESS">
      <formula>NOT(ISERROR(SEARCH(("IN PROGRESS"),(C3))))</formula>
    </cfRule>
  </conditionalFormatting>
  <conditionalFormatting sqref="C3:C133">
    <cfRule type="containsText" dxfId="6" priority="122" operator="containsText" text="DUE TODAY">
      <formula>NOT(ISERROR(SEARCH(("DUE TODAY"),(C3))))</formula>
    </cfRule>
  </conditionalFormatting>
  <conditionalFormatting sqref="C1:C1000">
    <cfRule type="containsText" dxfId="4" priority="123" operator="containsText" text="IN PROGRESS (LATE)">
      <formula>NOT(ISERROR(SEARCH(("IN PROGRESS (LATE)"),(C1))))</formula>
    </cfRule>
  </conditionalFormatting>
  <conditionalFormatting sqref="C2">
    <cfRule type="containsText" dxfId="5" priority="124" operator="containsText" text="IN PROGRESS">
      <formula>NOT(ISERROR(SEARCH(("IN PROGRESS"),(C2))))</formula>
    </cfRule>
  </conditionalFormatting>
  <conditionalFormatting sqref="C2">
    <cfRule type="containsText" dxfId="6" priority="125" operator="containsText" text="DUE TODAY">
      <formula>NOT(ISERROR(SEARCH(("DUE TODAY"),(C2))))</formula>
    </cfRule>
  </conditionalFormatting>
  <printOptions/>
  <pageMargins bottom="0.787401575" footer="0.0" header="0.0" left="0.511811024" right="0.511811024" top="0.7874015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43"/>
    <col customWidth="1" min="2" max="2" width="44.57"/>
    <col customWidth="1" min="3" max="3" width="17.0"/>
    <col customWidth="1" min="4" max="5" width="12.0"/>
    <col customWidth="1" min="6" max="6" width="9.14"/>
    <col customWidth="1" min="7" max="7" width="47.57"/>
    <col customWidth="1" min="8" max="8" width="17.0"/>
    <col customWidth="1" min="9" max="26" width="8.71"/>
  </cols>
  <sheetData>
    <row r="1" ht="15.0" customHeight="1">
      <c r="A1" s="73" t="s">
        <v>172</v>
      </c>
      <c r="B1" s="73" t="s">
        <v>58</v>
      </c>
      <c r="C1" s="74" t="s">
        <v>59</v>
      </c>
      <c r="D1" s="35"/>
      <c r="E1" s="35"/>
      <c r="F1" s="35"/>
      <c r="G1" s="75" t="s">
        <v>173</v>
      </c>
      <c r="H1" s="76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</row>
    <row r="2">
      <c r="A2" s="77">
        <v>44512.0</v>
      </c>
      <c r="B2" s="58" t="s">
        <v>73</v>
      </c>
      <c r="C2" s="78" t="s">
        <v>68</v>
      </c>
      <c r="D2" s="35"/>
      <c r="E2" s="35"/>
      <c r="F2" s="35"/>
      <c r="G2" s="79"/>
      <c r="H2" s="80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>
      <c r="A3" s="77">
        <v>44512.0</v>
      </c>
      <c r="B3" s="58" t="s">
        <v>101</v>
      </c>
      <c r="C3" s="78" t="s">
        <v>68</v>
      </c>
      <c r="D3" s="35"/>
      <c r="E3" s="35"/>
      <c r="F3" s="35"/>
      <c r="G3" s="79"/>
      <c r="H3" s="80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</row>
    <row r="4">
      <c r="A4" s="77">
        <v>44512.0</v>
      </c>
      <c r="B4" s="58" t="s">
        <v>102</v>
      </c>
      <c r="C4" s="78" t="s">
        <v>68</v>
      </c>
      <c r="D4" s="35"/>
      <c r="E4" s="35"/>
      <c r="F4" s="35"/>
      <c r="G4" s="79"/>
      <c r="H4" s="80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>
      <c r="A5" s="77">
        <v>44512.0</v>
      </c>
      <c r="B5" s="58" t="s">
        <v>105</v>
      </c>
      <c r="C5" s="78" t="s">
        <v>68</v>
      </c>
      <c r="D5" s="35"/>
      <c r="E5" s="35"/>
      <c r="F5" s="35"/>
      <c r="G5" s="79"/>
      <c r="H5" s="80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</row>
    <row r="6">
      <c r="A6" s="77">
        <v>44512.0</v>
      </c>
      <c r="B6" s="58" t="s">
        <v>71</v>
      </c>
      <c r="C6" s="78" t="s">
        <v>68</v>
      </c>
      <c r="D6" s="35"/>
      <c r="E6" s="35"/>
      <c r="F6" s="35"/>
      <c r="G6" s="79"/>
      <c r="H6" s="80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</row>
    <row r="7">
      <c r="A7" s="77">
        <v>44512.0</v>
      </c>
      <c r="B7" s="58" t="s">
        <v>79</v>
      </c>
      <c r="C7" s="78" t="s">
        <v>75</v>
      </c>
      <c r="D7" s="35"/>
      <c r="E7" s="35"/>
      <c r="F7" s="35"/>
      <c r="G7" s="81"/>
      <c r="H7" s="82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</row>
    <row r="8">
      <c r="A8" s="77">
        <v>44512.0</v>
      </c>
      <c r="B8" s="58" t="s">
        <v>74</v>
      </c>
      <c r="C8" s="78" t="s">
        <v>68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</row>
    <row r="9">
      <c r="A9" s="77">
        <v>44512.0</v>
      </c>
      <c r="B9" s="58" t="s">
        <v>99</v>
      </c>
      <c r="C9" s="78" t="s">
        <v>75</v>
      </c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</row>
    <row r="10">
      <c r="A10" s="77">
        <v>44512.0</v>
      </c>
      <c r="B10" s="58" t="s">
        <v>100</v>
      </c>
      <c r="C10" s="78" t="s">
        <v>75</v>
      </c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</row>
    <row r="11">
      <c r="A11" s="77">
        <v>44512.0</v>
      </c>
      <c r="B11" s="58" t="s">
        <v>98</v>
      </c>
      <c r="C11" s="78" t="s">
        <v>75</v>
      </c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</row>
    <row r="12">
      <c r="A12" s="77">
        <v>44512.0</v>
      </c>
      <c r="B12" s="58" t="s">
        <v>96</v>
      </c>
      <c r="C12" s="78" t="s">
        <v>75</v>
      </c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</row>
    <row r="13">
      <c r="A13" s="77">
        <v>44512.0</v>
      </c>
      <c r="B13" s="58" t="s">
        <v>97</v>
      </c>
      <c r="C13" s="78" t="s">
        <v>75</v>
      </c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</row>
    <row r="14">
      <c r="A14" s="77">
        <v>44512.0</v>
      </c>
      <c r="B14" s="58" t="s">
        <v>94</v>
      </c>
      <c r="C14" s="78" t="s">
        <v>75</v>
      </c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</row>
    <row r="15">
      <c r="A15" s="77">
        <v>44512.0</v>
      </c>
      <c r="B15" s="58" t="s">
        <v>92</v>
      </c>
      <c r="C15" s="78" t="s">
        <v>75</v>
      </c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</row>
    <row r="16">
      <c r="A16" s="77">
        <v>44512.0</v>
      </c>
      <c r="B16" s="58" t="s">
        <v>90</v>
      </c>
      <c r="C16" s="78" t="s">
        <v>75</v>
      </c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</row>
    <row r="17">
      <c r="A17" s="77">
        <v>44512.0</v>
      </c>
      <c r="B17" s="58" t="s">
        <v>88</v>
      </c>
      <c r="C17" s="78" t="s">
        <v>75</v>
      </c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</row>
    <row r="18">
      <c r="A18" s="77">
        <v>44512.0</v>
      </c>
      <c r="B18" s="58" t="s">
        <v>86</v>
      </c>
      <c r="C18" s="78" t="s">
        <v>75</v>
      </c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</row>
    <row r="19">
      <c r="A19" s="77">
        <v>44512.0</v>
      </c>
      <c r="B19" s="58" t="s">
        <v>83</v>
      </c>
      <c r="C19" s="78" t="s">
        <v>75</v>
      </c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</row>
    <row r="20">
      <c r="A20" s="77">
        <v>44512.0</v>
      </c>
      <c r="B20" s="58" t="s">
        <v>85</v>
      </c>
      <c r="C20" s="78" t="s">
        <v>75</v>
      </c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</row>
    <row r="21" ht="15.75" customHeight="1">
      <c r="A21" s="77">
        <v>44512.0</v>
      </c>
      <c r="B21" s="58" t="s">
        <v>81</v>
      </c>
      <c r="C21" s="78" t="s">
        <v>75</v>
      </c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ht="15.75" customHeight="1">
      <c r="A22" s="77">
        <v>44512.0</v>
      </c>
      <c r="B22" s="58" t="s">
        <v>112</v>
      </c>
      <c r="C22" s="78" t="s">
        <v>103</v>
      </c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ht="15.75" customHeight="1">
      <c r="A23" s="77">
        <v>44512.0</v>
      </c>
      <c r="B23" s="58" t="s">
        <v>109</v>
      </c>
      <c r="C23" s="78" t="s">
        <v>103</v>
      </c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ht="15.75" customHeight="1">
      <c r="A24" s="77">
        <v>44512.0</v>
      </c>
      <c r="B24" s="58" t="s">
        <v>107</v>
      </c>
      <c r="C24" s="78" t="s">
        <v>103</v>
      </c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ht="15.75" customHeight="1">
      <c r="A25" s="77">
        <v>44512.0</v>
      </c>
      <c r="B25" s="58" t="s">
        <v>111</v>
      </c>
      <c r="C25" s="78" t="s">
        <v>103</v>
      </c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</row>
    <row r="26" ht="15.75" customHeight="1">
      <c r="A26" s="77">
        <v>44518.0</v>
      </c>
      <c r="B26" s="58" t="s">
        <v>73</v>
      </c>
      <c r="C26" s="78" t="s">
        <v>68</v>
      </c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</row>
    <row r="27" ht="15.75" customHeight="1">
      <c r="A27" s="77">
        <v>44518.0</v>
      </c>
      <c r="B27" s="58" t="s">
        <v>101</v>
      </c>
      <c r="C27" s="78" t="s">
        <v>68</v>
      </c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</row>
    <row r="28" ht="15.75" customHeight="1">
      <c r="A28" s="77">
        <v>44518.0</v>
      </c>
      <c r="B28" s="58" t="s">
        <v>102</v>
      </c>
      <c r="C28" s="78" t="s">
        <v>68</v>
      </c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</row>
    <row r="29" ht="15.75" customHeight="1">
      <c r="A29" s="77">
        <v>44518.0</v>
      </c>
      <c r="B29" s="58" t="s">
        <v>105</v>
      </c>
      <c r="C29" s="78" t="s">
        <v>68</v>
      </c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</row>
    <row r="30" ht="15.75" customHeight="1">
      <c r="A30" s="77">
        <v>44518.0</v>
      </c>
      <c r="B30" s="58" t="s">
        <v>71</v>
      </c>
      <c r="C30" s="78" t="s">
        <v>68</v>
      </c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</row>
    <row r="31" ht="15.75" customHeight="1">
      <c r="A31" s="77">
        <v>44518.0</v>
      </c>
      <c r="B31" s="58" t="s">
        <v>79</v>
      </c>
      <c r="C31" s="78" t="s">
        <v>75</v>
      </c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</row>
    <row r="32" ht="15.75" customHeight="1">
      <c r="A32" s="77">
        <v>44518.0</v>
      </c>
      <c r="B32" s="58" t="s">
        <v>74</v>
      </c>
      <c r="C32" s="78" t="s">
        <v>68</v>
      </c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</row>
    <row r="33" ht="15.75" customHeight="1">
      <c r="A33" s="77">
        <v>44518.0</v>
      </c>
      <c r="B33" s="58" t="s">
        <v>99</v>
      </c>
      <c r="C33" s="78" t="s">
        <v>75</v>
      </c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</row>
    <row r="34" ht="15.75" customHeight="1">
      <c r="A34" s="77">
        <v>44518.0</v>
      </c>
      <c r="B34" s="58" t="s">
        <v>100</v>
      </c>
      <c r="C34" s="78" t="s">
        <v>75</v>
      </c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</row>
    <row r="35" ht="15.75" customHeight="1">
      <c r="A35" s="77">
        <v>44518.0</v>
      </c>
      <c r="B35" s="58" t="s">
        <v>98</v>
      </c>
      <c r="C35" s="78" t="s">
        <v>75</v>
      </c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</row>
    <row r="36" ht="15.75" customHeight="1">
      <c r="A36" s="77">
        <v>44518.0</v>
      </c>
      <c r="B36" s="58" t="s">
        <v>96</v>
      </c>
      <c r="C36" s="78" t="s">
        <v>75</v>
      </c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</row>
    <row r="37" ht="15.75" customHeight="1">
      <c r="A37" s="77">
        <v>44518.0</v>
      </c>
      <c r="B37" s="58" t="s">
        <v>97</v>
      </c>
      <c r="C37" s="78" t="s">
        <v>75</v>
      </c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</row>
    <row r="38" ht="15.75" customHeight="1">
      <c r="A38" s="77">
        <v>44518.0</v>
      </c>
      <c r="B38" s="58" t="s">
        <v>94</v>
      </c>
      <c r="C38" s="78" t="s">
        <v>75</v>
      </c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</row>
    <row r="39" ht="15.75" customHeight="1">
      <c r="A39" s="77">
        <v>44518.0</v>
      </c>
      <c r="B39" s="58" t="s">
        <v>92</v>
      </c>
      <c r="C39" s="78" t="s">
        <v>75</v>
      </c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</row>
    <row r="40" ht="15.75" customHeight="1">
      <c r="A40" s="77">
        <v>44518.0</v>
      </c>
      <c r="B40" s="58" t="s">
        <v>90</v>
      </c>
      <c r="C40" s="78" t="s">
        <v>75</v>
      </c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</row>
    <row r="41" ht="15.75" customHeight="1">
      <c r="A41" s="77">
        <v>44518.0</v>
      </c>
      <c r="B41" s="58" t="s">
        <v>88</v>
      </c>
      <c r="C41" s="78" t="s">
        <v>75</v>
      </c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</row>
    <row r="42" ht="15.75" customHeight="1">
      <c r="A42" s="77">
        <v>44518.0</v>
      </c>
      <c r="B42" s="58" t="s">
        <v>86</v>
      </c>
      <c r="C42" s="78" t="s">
        <v>75</v>
      </c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</row>
    <row r="43" ht="15.75" customHeight="1">
      <c r="A43" s="77">
        <v>44518.0</v>
      </c>
      <c r="B43" s="58" t="s">
        <v>83</v>
      </c>
      <c r="C43" s="78" t="s">
        <v>75</v>
      </c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</row>
    <row r="44" ht="15.75" customHeight="1">
      <c r="A44" s="77">
        <v>44518.0</v>
      </c>
      <c r="B44" s="58" t="s">
        <v>85</v>
      </c>
      <c r="C44" s="78" t="s">
        <v>75</v>
      </c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</row>
    <row r="45" ht="15.75" customHeight="1">
      <c r="A45" s="77">
        <v>44518.0</v>
      </c>
      <c r="B45" s="58" t="s">
        <v>81</v>
      </c>
      <c r="C45" s="78" t="s">
        <v>75</v>
      </c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</row>
    <row r="46" ht="15.75" customHeight="1">
      <c r="A46" s="77">
        <v>44518.0</v>
      </c>
      <c r="B46" s="58" t="s">
        <v>112</v>
      </c>
      <c r="C46" s="78" t="s">
        <v>103</v>
      </c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</row>
    <row r="47" ht="15.75" customHeight="1">
      <c r="A47" s="77">
        <v>44518.0</v>
      </c>
      <c r="B47" s="58" t="s">
        <v>109</v>
      </c>
      <c r="C47" s="78" t="s">
        <v>103</v>
      </c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</row>
    <row r="48" ht="15.75" customHeight="1">
      <c r="A48" s="77">
        <v>44518.0</v>
      </c>
      <c r="B48" s="58" t="s">
        <v>107</v>
      </c>
      <c r="C48" s="78" t="s">
        <v>103</v>
      </c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</row>
    <row r="49" ht="15.75" customHeight="1">
      <c r="A49" s="77">
        <v>44518.0</v>
      </c>
      <c r="B49" s="58" t="s">
        <v>111</v>
      </c>
      <c r="C49" s="78" t="s">
        <v>103</v>
      </c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</row>
    <row r="50" ht="15.75" customHeight="1">
      <c r="A50" s="77">
        <v>44525.0</v>
      </c>
      <c r="B50" s="58" t="s">
        <v>77</v>
      </c>
      <c r="C50" s="78" t="s">
        <v>68</v>
      </c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</row>
    <row r="51" ht="15.75" customHeight="1">
      <c r="A51" s="77">
        <v>44525.0</v>
      </c>
      <c r="B51" s="58" t="s">
        <v>73</v>
      </c>
      <c r="C51" s="78" t="s">
        <v>68</v>
      </c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</row>
    <row r="52" ht="15.75" customHeight="1">
      <c r="A52" s="77">
        <v>44525.0</v>
      </c>
      <c r="B52" s="58" t="s">
        <v>101</v>
      </c>
      <c r="C52" s="78" t="s">
        <v>68</v>
      </c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</row>
    <row r="53" ht="15.75" customHeight="1">
      <c r="A53" s="77">
        <v>44525.0</v>
      </c>
      <c r="B53" s="58" t="s">
        <v>102</v>
      </c>
      <c r="C53" s="78" t="s">
        <v>68</v>
      </c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</row>
    <row r="54" ht="15.75" customHeight="1">
      <c r="A54" s="77">
        <v>44525.0</v>
      </c>
      <c r="B54" s="58" t="s">
        <v>105</v>
      </c>
      <c r="C54" s="78" t="s">
        <v>68</v>
      </c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</row>
    <row r="55" ht="15.75" customHeight="1">
      <c r="A55" s="77">
        <v>44525.0</v>
      </c>
      <c r="B55" s="58" t="s">
        <v>71</v>
      </c>
      <c r="C55" s="78" t="s">
        <v>68</v>
      </c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</row>
    <row r="56" ht="15.75" customHeight="1">
      <c r="A56" s="77">
        <v>44525.0</v>
      </c>
      <c r="B56" s="58" t="s">
        <v>79</v>
      </c>
      <c r="C56" s="78" t="s">
        <v>75</v>
      </c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</row>
    <row r="57" ht="15.75" customHeight="1">
      <c r="A57" s="77">
        <v>44525.0</v>
      </c>
      <c r="B57" s="58" t="s">
        <v>74</v>
      </c>
      <c r="C57" s="78" t="s">
        <v>68</v>
      </c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</row>
    <row r="58" ht="15.75" customHeight="1">
      <c r="A58" s="77">
        <v>44525.0</v>
      </c>
      <c r="B58" s="58" t="s">
        <v>99</v>
      </c>
      <c r="C58" s="78" t="s">
        <v>75</v>
      </c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</row>
    <row r="59" ht="15.75" customHeight="1">
      <c r="A59" s="77">
        <v>44525.0</v>
      </c>
      <c r="B59" s="58" t="s">
        <v>100</v>
      </c>
      <c r="C59" s="78" t="s">
        <v>75</v>
      </c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</row>
    <row r="60" ht="15.75" customHeight="1">
      <c r="A60" s="77">
        <v>44525.0</v>
      </c>
      <c r="B60" s="58" t="s">
        <v>98</v>
      </c>
      <c r="C60" s="78" t="s">
        <v>75</v>
      </c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</row>
    <row r="61" ht="15.75" customHeight="1">
      <c r="A61" s="77">
        <v>44525.0</v>
      </c>
      <c r="B61" s="58" t="s">
        <v>96</v>
      </c>
      <c r="C61" s="78" t="s">
        <v>75</v>
      </c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</row>
    <row r="62" ht="15.75" customHeight="1">
      <c r="A62" s="77">
        <v>44525.0</v>
      </c>
      <c r="B62" s="58" t="s">
        <v>97</v>
      </c>
      <c r="C62" s="78" t="s">
        <v>75</v>
      </c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</row>
    <row r="63" ht="15.75" customHeight="1">
      <c r="A63" s="77">
        <v>44525.0</v>
      </c>
      <c r="B63" s="58" t="s">
        <v>94</v>
      </c>
      <c r="C63" s="78" t="s">
        <v>75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</row>
    <row r="64" ht="15.75" customHeight="1">
      <c r="A64" s="77">
        <v>44525.0</v>
      </c>
      <c r="B64" s="58" t="s">
        <v>92</v>
      </c>
      <c r="C64" s="78" t="s">
        <v>75</v>
      </c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</row>
    <row r="65" ht="15.75" customHeight="1">
      <c r="A65" s="77">
        <v>44525.0</v>
      </c>
      <c r="B65" s="58" t="s">
        <v>90</v>
      </c>
      <c r="C65" s="78" t="s">
        <v>75</v>
      </c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</row>
    <row r="66" ht="15.75" customHeight="1">
      <c r="A66" s="77">
        <v>44525.0</v>
      </c>
      <c r="B66" s="58" t="s">
        <v>88</v>
      </c>
      <c r="C66" s="78" t="s">
        <v>75</v>
      </c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</row>
    <row r="67" ht="15.75" customHeight="1">
      <c r="A67" s="77">
        <v>44525.0</v>
      </c>
      <c r="B67" s="58" t="s">
        <v>86</v>
      </c>
      <c r="C67" s="78" t="s">
        <v>75</v>
      </c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</row>
    <row r="68" ht="15.75" customHeight="1">
      <c r="A68" s="77">
        <v>44525.0</v>
      </c>
      <c r="B68" s="58" t="s">
        <v>83</v>
      </c>
      <c r="C68" s="78" t="s">
        <v>75</v>
      </c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</row>
    <row r="69" ht="15.75" customHeight="1">
      <c r="A69" s="77">
        <v>44525.0</v>
      </c>
      <c r="B69" s="58" t="s">
        <v>85</v>
      </c>
      <c r="C69" s="78" t="s">
        <v>75</v>
      </c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</row>
    <row r="70" ht="15.75" customHeight="1">
      <c r="A70" s="77">
        <v>44525.0</v>
      </c>
      <c r="B70" s="58" t="s">
        <v>81</v>
      </c>
      <c r="C70" s="78" t="s">
        <v>75</v>
      </c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</row>
    <row r="71" ht="15.75" customHeight="1">
      <c r="A71" s="77">
        <v>44525.0</v>
      </c>
      <c r="B71" s="58" t="s">
        <v>112</v>
      </c>
      <c r="C71" s="78" t="s">
        <v>103</v>
      </c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</row>
    <row r="72" ht="15.75" customHeight="1">
      <c r="A72" s="77">
        <v>44525.0</v>
      </c>
      <c r="B72" s="58" t="s">
        <v>109</v>
      </c>
      <c r="C72" s="78" t="s">
        <v>103</v>
      </c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</row>
    <row r="73" ht="15.75" customHeight="1">
      <c r="A73" s="77">
        <v>44525.0</v>
      </c>
      <c r="B73" s="58" t="s">
        <v>107</v>
      </c>
      <c r="C73" s="78" t="s">
        <v>103</v>
      </c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</row>
    <row r="74" ht="15.75" customHeight="1">
      <c r="A74" s="77">
        <v>44525.0</v>
      </c>
      <c r="B74" s="58" t="s">
        <v>111</v>
      </c>
      <c r="C74" s="78" t="s">
        <v>103</v>
      </c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</row>
    <row r="75" ht="15.75" customHeight="1">
      <c r="A75" s="77">
        <v>44528.0</v>
      </c>
      <c r="B75" s="58" t="s">
        <v>77</v>
      </c>
      <c r="C75" s="78" t="s">
        <v>68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</row>
    <row r="76" ht="15.75" customHeight="1">
      <c r="A76" s="77">
        <v>44528.0</v>
      </c>
      <c r="B76" s="58" t="s">
        <v>70</v>
      </c>
      <c r="C76" s="78" t="s">
        <v>68</v>
      </c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</row>
    <row r="77" ht="15.75" customHeight="1">
      <c r="A77" s="77">
        <v>44528.0</v>
      </c>
      <c r="B77" s="58" t="s">
        <v>73</v>
      </c>
      <c r="C77" s="78" t="s">
        <v>68</v>
      </c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</row>
    <row r="78" ht="15.75" customHeight="1">
      <c r="A78" s="77">
        <v>44528.0</v>
      </c>
      <c r="B78" s="58" t="s">
        <v>101</v>
      </c>
      <c r="C78" s="78" t="s">
        <v>68</v>
      </c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</row>
    <row r="79" ht="15.75" customHeight="1">
      <c r="A79" s="77">
        <v>44528.0</v>
      </c>
      <c r="B79" s="58" t="s">
        <v>102</v>
      </c>
      <c r="C79" s="78" t="s">
        <v>68</v>
      </c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</row>
    <row r="80" ht="15.75" customHeight="1">
      <c r="A80" s="77">
        <v>44528.0</v>
      </c>
      <c r="B80" s="58" t="s">
        <v>105</v>
      </c>
      <c r="C80" s="78" t="s">
        <v>68</v>
      </c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</row>
    <row r="81" ht="15.75" customHeight="1">
      <c r="A81" s="77">
        <v>44528.0</v>
      </c>
      <c r="B81" s="58" t="s">
        <v>71</v>
      </c>
      <c r="C81" s="78" t="s">
        <v>68</v>
      </c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</row>
    <row r="82" ht="15.75" customHeight="1">
      <c r="A82" s="77">
        <v>44528.0</v>
      </c>
      <c r="B82" s="58" t="s">
        <v>79</v>
      </c>
      <c r="C82" s="78" t="s">
        <v>75</v>
      </c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</row>
    <row r="83" ht="15.75" customHeight="1">
      <c r="A83" s="77">
        <v>44528.0</v>
      </c>
      <c r="B83" s="58" t="s">
        <v>74</v>
      </c>
      <c r="C83" s="78" t="s">
        <v>68</v>
      </c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</row>
    <row r="84" ht="15.75" customHeight="1">
      <c r="A84" s="77">
        <v>44528.0</v>
      </c>
      <c r="B84" s="58" t="s">
        <v>99</v>
      </c>
      <c r="C84" s="78" t="s">
        <v>75</v>
      </c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</row>
    <row r="85" ht="15.75" customHeight="1">
      <c r="A85" s="77">
        <v>44528.0</v>
      </c>
      <c r="B85" s="58" t="s">
        <v>100</v>
      </c>
      <c r="C85" s="78" t="s">
        <v>75</v>
      </c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</row>
    <row r="86" ht="15.75" customHeight="1">
      <c r="A86" s="77">
        <v>44528.0</v>
      </c>
      <c r="B86" s="58" t="s">
        <v>98</v>
      </c>
      <c r="C86" s="78" t="s">
        <v>75</v>
      </c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</row>
    <row r="87" ht="15.75" customHeight="1">
      <c r="A87" s="77">
        <v>44528.0</v>
      </c>
      <c r="B87" s="58" t="s">
        <v>96</v>
      </c>
      <c r="C87" s="78" t="s">
        <v>75</v>
      </c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</row>
    <row r="88" ht="15.75" customHeight="1">
      <c r="A88" s="77">
        <v>44528.0</v>
      </c>
      <c r="B88" s="58" t="s">
        <v>97</v>
      </c>
      <c r="C88" s="78" t="s">
        <v>75</v>
      </c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</row>
    <row r="89" ht="15.75" customHeight="1">
      <c r="A89" s="77">
        <v>44528.0</v>
      </c>
      <c r="B89" s="58" t="s">
        <v>94</v>
      </c>
      <c r="C89" s="78" t="s">
        <v>75</v>
      </c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</row>
    <row r="90" ht="15.75" customHeight="1">
      <c r="A90" s="77">
        <v>44528.0</v>
      </c>
      <c r="B90" s="58" t="s">
        <v>92</v>
      </c>
      <c r="C90" s="78" t="s">
        <v>75</v>
      </c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</row>
    <row r="91" ht="15.75" customHeight="1">
      <c r="A91" s="77">
        <v>44528.0</v>
      </c>
      <c r="B91" s="58" t="s">
        <v>90</v>
      </c>
      <c r="C91" s="78" t="s">
        <v>75</v>
      </c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</row>
    <row r="92" ht="15.75" customHeight="1">
      <c r="A92" s="77">
        <v>44528.0</v>
      </c>
      <c r="B92" s="58" t="s">
        <v>88</v>
      </c>
      <c r="C92" s="78" t="s">
        <v>75</v>
      </c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</row>
    <row r="93" ht="15.75" customHeight="1">
      <c r="A93" s="77">
        <v>44528.0</v>
      </c>
      <c r="B93" s="58" t="s">
        <v>86</v>
      </c>
      <c r="C93" s="78" t="s">
        <v>75</v>
      </c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</row>
    <row r="94" ht="15.75" customHeight="1">
      <c r="A94" s="77">
        <v>44528.0</v>
      </c>
      <c r="B94" s="58" t="s">
        <v>83</v>
      </c>
      <c r="C94" s="78" t="s">
        <v>75</v>
      </c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</row>
    <row r="95" ht="15.75" customHeight="1">
      <c r="A95" s="77">
        <v>44528.0</v>
      </c>
      <c r="B95" s="58" t="s">
        <v>85</v>
      </c>
      <c r="C95" s="78" t="s">
        <v>75</v>
      </c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</row>
    <row r="96" ht="15.75" customHeight="1">
      <c r="A96" s="77">
        <v>44528.0</v>
      </c>
      <c r="B96" s="58" t="s">
        <v>81</v>
      </c>
      <c r="C96" s="78" t="s">
        <v>75</v>
      </c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</row>
    <row r="97" ht="15.75" customHeight="1">
      <c r="A97" s="77">
        <v>44528.0</v>
      </c>
      <c r="B97" s="58" t="s">
        <v>112</v>
      </c>
      <c r="C97" s="78" t="s">
        <v>103</v>
      </c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</row>
    <row r="98" ht="15.75" customHeight="1">
      <c r="A98" s="77">
        <v>44528.0</v>
      </c>
      <c r="B98" s="58" t="s">
        <v>109</v>
      </c>
      <c r="C98" s="78" t="s">
        <v>103</v>
      </c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</row>
    <row r="99" ht="15.75" customHeight="1">
      <c r="A99" s="77">
        <v>44528.0</v>
      </c>
      <c r="B99" s="58" t="s">
        <v>107</v>
      </c>
      <c r="C99" s="78" t="s">
        <v>103</v>
      </c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</row>
    <row r="100" ht="15.75" customHeight="1">
      <c r="A100" s="77">
        <v>44528.0</v>
      </c>
      <c r="B100" s="58" t="s">
        <v>111</v>
      </c>
      <c r="C100" s="78" t="s">
        <v>103</v>
      </c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</row>
    <row r="101" ht="15.75" customHeight="1">
      <c r="A101" s="77">
        <v>44536.0</v>
      </c>
      <c r="B101" s="58" t="s">
        <v>70</v>
      </c>
      <c r="C101" s="78" t="s">
        <v>68</v>
      </c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</row>
    <row r="102" ht="15.75" customHeight="1">
      <c r="A102" s="77">
        <v>44536.0</v>
      </c>
      <c r="B102" s="58" t="s">
        <v>69</v>
      </c>
      <c r="C102" s="78" t="s">
        <v>68</v>
      </c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</row>
    <row r="103" ht="15.75" customHeight="1">
      <c r="A103" s="77">
        <v>44536.0</v>
      </c>
      <c r="B103" s="58" t="s">
        <v>77</v>
      </c>
      <c r="C103" s="78" t="s">
        <v>68</v>
      </c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</row>
    <row r="104" ht="15.75" customHeight="1">
      <c r="A104" s="77">
        <v>44536.0</v>
      </c>
      <c r="B104" s="58" t="s">
        <v>73</v>
      </c>
      <c r="C104" s="78" t="s">
        <v>68</v>
      </c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</row>
    <row r="105" ht="15.75" customHeight="1">
      <c r="A105" s="77">
        <v>44536.0</v>
      </c>
      <c r="B105" s="58" t="s">
        <v>101</v>
      </c>
      <c r="C105" s="78" t="s">
        <v>75</v>
      </c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</row>
    <row r="106" ht="15.75" customHeight="1">
      <c r="A106" s="77">
        <v>44536.0</v>
      </c>
      <c r="B106" s="58" t="s">
        <v>102</v>
      </c>
      <c r="C106" s="78" t="s">
        <v>68</v>
      </c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</row>
    <row r="107" ht="15.75" customHeight="1">
      <c r="A107" s="77">
        <v>44536.0</v>
      </c>
      <c r="B107" s="58" t="s">
        <v>105</v>
      </c>
      <c r="C107" s="78" t="s">
        <v>68</v>
      </c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</row>
    <row r="108" ht="15.75" customHeight="1">
      <c r="A108" s="77">
        <v>44536.0</v>
      </c>
      <c r="B108" s="58" t="s">
        <v>71</v>
      </c>
      <c r="C108" s="78" t="s">
        <v>68</v>
      </c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</row>
    <row r="109" ht="15.75" customHeight="1">
      <c r="A109" s="77">
        <v>44536.0</v>
      </c>
      <c r="B109" s="58" t="s">
        <v>79</v>
      </c>
      <c r="C109" s="78" t="s">
        <v>75</v>
      </c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</row>
    <row r="110" ht="15.75" customHeight="1">
      <c r="A110" s="77">
        <v>44536.0</v>
      </c>
      <c r="B110" s="58" t="s">
        <v>74</v>
      </c>
      <c r="C110" s="78" t="s">
        <v>68</v>
      </c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</row>
    <row r="111" ht="15.75" customHeight="1">
      <c r="A111" s="77">
        <v>44536.0</v>
      </c>
      <c r="B111" s="58" t="s">
        <v>99</v>
      </c>
      <c r="C111" s="78" t="s">
        <v>75</v>
      </c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</row>
    <row r="112" ht="15.75" customHeight="1">
      <c r="A112" s="77">
        <v>44536.0</v>
      </c>
      <c r="B112" s="58" t="s">
        <v>100</v>
      </c>
      <c r="C112" s="78" t="s">
        <v>75</v>
      </c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</row>
    <row r="113" ht="15.75" customHeight="1">
      <c r="A113" s="77">
        <v>44536.0</v>
      </c>
      <c r="B113" s="58" t="s">
        <v>98</v>
      </c>
      <c r="C113" s="78" t="s">
        <v>75</v>
      </c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</row>
    <row r="114" ht="15.75" customHeight="1">
      <c r="A114" s="77">
        <v>44536.0</v>
      </c>
      <c r="B114" s="58" t="s">
        <v>96</v>
      </c>
      <c r="C114" s="78" t="s">
        <v>75</v>
      </c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</row>
    <row r="115" ht="15.75" customHeight="1">
      <c r="A115" s="77">
        <v>44536.0</v>
      </c>
      <c r="B115" s="58" t="s">
        <v>97</v>
      </c>
      <c r="C115" s="78" t="s">
        <v>75</v>
      </c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</row>
    <row r="116" ht="15.75" customHeight="1">
      <c r="A116" s="77">
        <v>44536.0</v>
      </c>
      <c r="B116" s="58" t="s">
        <v>94</v>
      </c>
      <c r="C116" s="78" t="s">
        <v>75</v>
      </c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</row>
    <row r="117" ht="15.75" customHeight="1">
      <c r="A117" s="77">
        <v>44536.0</v>
      </c>
      <c r="B117" s="58" t="s">
        <v>92</v>
      </c>
      <c r="C117" s="78" t="s">
        <v>75</v>
      </c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</row>
    <row r="118" ht="15.75" customHeight="1">
      <c r="A118" s="77">
        <v>44536.0</v>
      </c>
      <c r="B118" s="58" t="s">
        <v>90</v>
      </c>
      <c r="C118" s="78" t="s">
        <v>75</v>
      </c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</row>
    <row r="119" ht="15.75" customHeight="1">
      <c r="A119" s="77">
        <v>44536.0</v>
      </c>
      <c r="B119" s="58" t="s">
        <v>88</v>
      </c>
      <c r="C119" s="78" t="s">
        <v>75</v>
      </c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</row>
    <row r="120" ht="15.75" customHeight="1">
      <c r="A120" s="77">
        <v>44536.0</v>
      </c>
      <c r="B120" s="58" t="s">
        <v>86</v>
      </c>
      <c r="C120" s="78" t="s">
        <v>75</v>
      </c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</row>
    <row r="121" ht="15.75" customHeight="1">
      <c r="A121" s="77">
        <v>44536.0</v>
      </c>
      <c r="B121" s="58" t="s">
        <v>83</v>
      </c>
      <c r="C121" s="78" t="s">
        <v>75</v>
      </c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</row>
    <row r="122" ht="15.75" customHeight="1">
      <c r="A122" s="77">
        <v>44536.0</v>
      </c>
      <c r="B122" s="58" t="s">
        <v>85</v>
      </c>
      <c r="C122" s="78" t="s">
        <v>75</v>
      </c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</row>
    <row r="123" ht="15.75" customHeight="1">
      <c r="A123" s="77">
        <v>44536.0</v>
      </c>
      <c r="B123" s="58" t="s">
        <v>81</v>
      </c>
      <c r="C123" s="78" t="s">
        <v>75</v>
      </c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</row>
    <row r="124" ht="15.75" customHeight="1">
      <c r="A124" s="77">
        <v>44536.0</v>
      </c>
      <c r="B124" s="58" t="s">
        <v>112</v>
      </c>
      <c r="C124" s="78" t="s">
        <v>103</v>
      </c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</row>
    <row r="125" ht="15.75" customHeight="1">
      <c r="A125" s="77">
        <v>44536.0</v>
      </c>
      <c r="B125" s="58" t="s">
        <v>109</v>
      </c>
      <c r="C125" s="78" t="s">
        <v>103</v>
      </c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</row>
    <row r="126" ht="15.75" customHeight="1">
      <c r="A126" s="77">
        <v>44536.0</v>
      </c>
      <c r="B126" s="58" t="s">
        <v>107</v>
      </c>
      <c r="C126" s="78" t="s">
        <v>103</v>
      </c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</row>
    <row r="127" ht="15.75" customHeight="1">
      <c r="A127" s="77">
        <v>44536.0</v>
      </c>
      <c r="B127" s="58" t="s">
        <v>111</v>
      </c>
      <c r="C127" s="78" t="s">
        <v>103</v>
      </c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</row>
    <row r="128" ht="15.75" customHeight="1">
      <c r="A128" s="77">
        <v>44540.0</v>
      </c>
      <c r="B128" s="58" t="s">
        <v>67</v>
      </c>
      <c r="C128" s="78" t="s">
        <v>68</v>
      </c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</row>
    <row r="129" ht="15.75" customHeight="1">
      <c r="A129" s="77">
        <v>44540.0</v>
      </c>
      <c r="B129" s="58" t="s">
        <v>69</v>
      </c>
      <c r="C129" s="78" t="s">
        <v>68</v>
      </c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</row>
    <row r="130" ht="15.75" customHeight="1">
      <c r="A130" s="77">
        <v>44540.0</v>
      </c>
      <c r="B130" s="58" t="s">
        <v>70</v>
      </c>
      <c r="C130" s="78" t="s">
        <v>68</v>
      </c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</row>
    <row r="131" ht="15.75" customHeight="1">
      <c r="A131" s="77">
        <v>44540.0</v>
      </c>
      <c r="B131" s="58" t="s">
        <v>77</v>
      </c>
      <c r="C131" s="78" t="s">
        <v>68</v>
      </c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</row>
    <row r="132" ht="15.75" customHeight="1">
      <c r="A132" s="77">
        <v>44540.0</v>
      </c>
      <c r="B132" s="58" t="s">
        <v>74</v>
      </c>
      <c r="C132" s="78" t="s">
        <v>68</v>
      </c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</row>
    <row r="133" ht="15.75" customHeight="1">
      <c r="A133" s="77">
        <v>44540.0</v>
      </c>
      <c r="B133" s="58" t="s">
        <v>79</v>
      </c>
      <c r="C133" s="78" t="s">
        <v>75</v>
      </c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</row>
    <row r="134" ht="15.75" customHeight="1">
      <c r="A134" s="77">
        <v>44540.0</v>
      </c>
      <c r="B134" s="58" t="s">
        <v>71</v>
      </c>
      <c r="C134" s="78" t="s">
        <v>68</v>
      </c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</row>
    <row r="135" ht="15.75" customHeight="1">
      <c r="A135" s="77">
        <v>44540.0</v>
      </c>
      <c r="B135" s="58" t="s">
        <v>102</v>
      </c>
      <c r="C135" s="78" t="s">
        <v>68</v>
      </c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</row>
    <row r="136" ht="15.75" customHeight="1">
      <c r="A136" s="77">
        <v>44540.0</v>
      </c>
      <c r="B136" s="58" t="s">
        <v>73</v>
      </c>
      <c r="C136" s="78" t="s">
        <v>68</v>
      </c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</row>
    <row r="137" ht="15.75" customHeight="1">
      <c r="A137" s="77">
        <v>44540.0</v>
      </c>
      <c r="B137" s="58" t="s">
        <v>81</v>
      </c>
      <c r="C137" s="78" t="s">
        <v>75</v>
      </c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</row>
    <row r="138" ht="15.75" customHeight="1">
      <c r="A138" s="77">
        <v>44540.0</v>
      </c>
      <c r="B138" s="58" t="s">
        <v>83</v>
      </c>
      <c r="C138" s="78" t="s">
        <v>75</v>
      </c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</row>
    <row r="139" ht="15.75" customHeight="1">
      <c r="A139" s="77">
        <v>44540.0</v>
      </c>
      <c r="B139" s="58" t="s">
        <v>85</v>
      </c>
      <c r="C139" s="78" t="s">
        <v>75</v>
      </c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</row>
    <row r="140" ht="15.75" customHeight="1">
      <c r="A140" s="77">
        <v>44540.0</v>
      </c>
      <c r="B140" s="58" t="s">
        <v>86</v>
      </c>
      <c r="C140" s="78" t="s">
        <v>75</v>
      </c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</row>
    <row r="141" ht="15.75" customHeight="1">
      <c r="A141" s="77">
        <v>44540.0</v>
      </c>
      <c r="B141" s="58" t="s">
        <v>88</v>
      </c>
      <c r="C141" s="78" t="s">
        <v>75</v>
      </c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</row>
    <row r="142" ht="15.75" customHeight="1">
      <c r="A142" s="77">
        <v>44540.0</v>
      </c>
      <c r="B142" s="58" t="s">
        <v>90</v>
      </c>
      <c r="C142" s="78" t="s">
        <v>75</v>
      </c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</row>
    <row r="143" ht="15.75" customHeight="1">
      <c r="A143" s="77">
        <v>44540.0</v>
      </c>
      <c r="B143" s="58" t="s">
        <v>92</v>
      </c>
      <c r="C143" s="78" t="s">
        <v>75</v>
      </c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</row>
    <row r="144" ht="15.75" customHeight="1">
      <c r="A144" s="77">
        <v>44540.0</v>
      </c>
      <c r="B144" s="58" t="s">
        <v>94</v>
      </c>
      <c r="C144" s="78" t="s">
        <v>75</v>
      </c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</row>
    <row r="145" ht="15.75" customHeight="1">
      <c r="A145" s="77">
        <v>44540.0</v>
      </c>
      <c r="B145" s="58" t="s">
        <v>96</v>
      </c>
      <c r="C145" s="78" t="s">
        <v>75</v>
      </c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</row>
    <row r="146" ht="15.75" customHeight="1">
      <c r="A146" s="77">
        <v>44540.0</v>
      </c>
      <c r="B146" s="58" t="s">
        <v>97</v>
      </c>
      <c r="C146" s="78" t="s">
        <v>75</v>
      </c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</row>
    <row r="147" ht="15.75" customHeight="1">
      <c r="A147" s="77">
        <v>44540.0</v>
      </c>
      <c r="B147" s="58" t="s">
        <v>98</v>
      </c>
      <c r="C147" s="78" t="s">
        <v>75</v>
      </c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</row>
    <row r="148" ht="15.75" customHeight="1">
      <c r="A148" s="77">
        <v>44540.0</v>
      </c>
      <c r="B148" s="58" t="s">
        <v>99</v>
      </c>
      <c r="C148" s="78" t="s">
        <v>75</v>
      </c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</row>
    <row r="149" ht="15.75" customHeight="1">
      <c r="A149" s="77">
        <v>44540.0</v>
      </c>
      <c r="B149" s="58" t="s">
        <v>100</v>
      </c>
      <c r="C149" s="78" t="s">
        <v>75</v>
      </c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</row>
    <row r="150" ht="15.75" customHeight="1">
      <c r="A150" s="77">
        <v>44540.0</v>
      </c>
      <c r="B150" s="58" t="s">
        <v>101</v>
      </c>
      <c r="C150" s="78" t="s">
        <v>75</v>
      </c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</row>
    <row r="151" ht="15.75" customHeight="1">
      <c r="A151" s="77">
        <v>44540.0</v>
      </c>
      <c r="B151" s="58" t="s">
        <v>105</v>
      </c>
      <c r="C151" s="78" t="s">
        <v>103</v>
      </c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</row>
    <row r="152" ht="15.75" customHeight="1">
      <c r="A152" s="77">
        <v>44540.0</v>
      </c>
      <c r="B152" s="58" t="s">
        <v>107</v>
      </c>
      <c r="C152" s="78" t="s">
        <v>103</v>
      </c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</row>
    <row r="153" ht="15.75" customHeight="1">
      <c r="A153" s="77">
        <v>44540.0</v>
      </c>
      <c r="B153" s="58" t="s">
        <v>109</v>
      </c>
      <c r="C153" s="78" t="s">
        <v>103</v>
      </c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</row>
    <row r="154" ht="15.75" customHeight="1">
      <c r="A154" s="77">
        <v>44540.0</v>
      </c>
      <c r="B154" s="58" t="s">
        <v>111</v>
      </c>
      <c r="C154" s="78" t="s">
        <v>103</v>
      </c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</row>
    <row r="155" ht="15.75" customHeight="1">
      <c r="A155" s="77">
        <v>44540.0</v>
      </c>
      <c r="B155" s="58" t="s">
        <v>112</v>
      </c>
      <c r="C155" s="78" t="s">
        <v>103</v>
      </c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</row>
    <row r="156" ht="15.75" customHeight="1">
      <c r="A156" s="77">
        <v>44541.0</v>
      </c>
      <c r="B156" s="58" t="s">
        <v>67</v>
      </c>
      <c r="C156" s="78" t="s">
        <v>68</v>
      </c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</row>
    <row r="157" ht="15.75" customHeight="1">
      <c r="A157" s="77">
        <v>44541.0</v>
      </c>
      <c r="B157" s="58" t="s">
        <v>69</v>
      </c>
      <c r="C157" s="78" t="s">
        <v>68</v>
      </c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</row>
    <row r="158" ht="15.75" customHeight="1">
      <c r="A158" s="77">
        <v>44541.0</v>
      </c>
      <c r="B158" s="58" t="s">
        <v>70</v>
      </c>
      <c r="C158" s="78" t="s">
        <v>68</v>
      </c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</row>
    <row r="159" ht="15.75" customHeight="1">
      <c r="A159" s="77">
        <v>44541.0</v>
      </c>
      <c r="B159" s="58" t="s">
        <v>77</v>
      </c>
      <c r="C159" s="78" t="s">
        <v>68</v>
      </c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</row>
    <row r="160" ht="15.75" customHeight="1">
      <c r="A160" s="77">
        <v>44541.0</v>
      </c>
      <c r="B160" s="58" t="s">
        <v>74</v>
      </c>
      <c r="C160" s="78" t="s">
        <v>68</v>
      </c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</row>
    <row r="161" ht="15.75" customHeight="1">
      <c r="A161" s="77">
        <v>44541.0</v>
      </c>
      <c r="B161" s="58" t="s">
        <v>79</v>
      </c>
      <c r="C161" s="78" t="s">
        <v>75</v>
      </c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</row>
    <row r="162" ht="15.75" customHeight="1">
      <c r="A162" s="77">
        <v>44541.0</v>
      </c>
      <c r="B162" s="58" t="s">
        <v>71</v>
      </c>
      <c r="C162" s="78" t="s">
        <v>68</v>
      </c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</row>
    <row r="163" ht="15.75" customHeight="1">
      <c r="A163" s="77">
        <v>44541.0</v>
      </c>
      <c r="B163" s="58" t="s">
        <v>102</v>
      </c>
      <c r="C163" s="78" t="s">
        <v>68</v>
      </c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</row>
    <row r="164" ht="15.75" customHeight="1">
      <c r="A164" s="77">
        <v>44541.0</v>
      </c>
      <c r="B164" s="58" t="s">
        <v>73</v>
      </c>
      <c r="C164" s="78" t="s">
        <v>68</v>
      </c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</row>
    <row r="165" ht="15.75" customHeight="1">
      <c r="A165" s="77">
        <v>44541.0</v>
      </c>
      <c r="B165" s="58" t="s">
        <v>81</v>
      </c>
      <c r="C165" s="78" t="s">
        <v>75</v>
      </c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</row>
    <row r="166" ht="15.75" customHeight="1">
      <c r="A166" s="77">
        <v>44541.0</v>
      </c>
      <c r="B166" s="58" t="s">
        <v>83</v>
      </c>
      <c r="C166" s="78" t="s">
        <v>75</v>
      </c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</row>
    <row r="167" ht="15.75" customHeight="1">
      <c r="A167" s="77">
        <v>44541.0</v>
      </c>
      <c r="B167" s="58" t="s">
        <v>85</v>
      </c>
      <c r="C167" s="78" t="s">
        <v>75</v>
      </c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</row>
    <row r="168" ht="15.75" customHeight="1">
      <c r="A168" s="77">
        <v>44541.0</v>
      </c>
      <c r="B168" s="58" t="s">
        <v>86</v>
      </c>
      <c r="C168" s="78" t="s">
        <v>75</v>
      </c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</row>
    <row r="169" ht="15.75" customHeight="1">
      <c r="A169" s="77">
        <v>44541.0</v>
      </c>
      <c r="B169" s="58" t="s">
        <v>88</v>
      </c>
      <c r="C169" s="78" t="s">
        <v>75</v>
      </c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</row>
    <row r="170" ht="15.75" customHeight="1">
      <c r="A170" s="77">
        <v>44541.0</v>
      </c>
      <c r="B170" s="58" t="s">
        <v>90</v>
      </c>
      <c r="C170" s="78" t="s">
        <v>75</v>
      </c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</row>
    <row r="171" ht="15.75" customHeight="1">
      <c r="A171" s="77">
        <v>44541.0</v>
      </c>
      <c r="B171" s="58" t="s">
        <v>92</v>
      </c>
      <c r="C171" s="78" t="s">
        <v>75</v>
      </c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</row>
    <row r="172" ht="15.75" customHeight="1">
      <c r="A172" s="77">
        <v>44541.0</v>
      </c>
      <c r="B172" s="58" t="s">
        <v>94</v>
      </c>
      <c r="C172" s="78" t="s">
        <v>75</v>
      </c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</row>
    <row r="173" ht="15.75" customHeight="1">
      <c r="A173" s="77">
        <v>44541.0</v>
      </c>
      <c r="B173" s="58" t="s">
        <v>96</v>
      </c>
      <c r="C173" s="78" t="s">
        <v>75</v>
      </c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</row>
    <row r="174" ht="15.75" customHeight="1">
      <c r="A174" s="77">
        <v>44541.0</v>
      </c>
      <c r="B174" s="58" t="s">
        <v>97</v>
      </c>
      <c r="C174" s="78" t="s">
        <v>75</v>
      </c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</row>
    <row r="175" ht="15.75" customHeight="1">
      <c r="A175" s="77">
        <v>44541.0</v>
      </c>
      <c r="B175" s="58" t="s">
        <v>98</v>
      </c>
      <c r="C175" s="78" t="s">
        <v>75</v>
      </c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</row>
    <row r="176" ht="15.75" customHeight="1">
      <c r="A176" s="77">
        <v>44541.0</v>
      </c>
      <c r="B176" s="58" t="s">
        <v>99</v>
      </c>
      <c r="C176" s="78" t="s">
        <v>75</v>
      </c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</row>
    <row r="177" ht="15.75" customHeight="1">
      <c r="A177" s="77">
        <v>44541.0</v>
      </c>
      <c r="B177" s="58" t="s">
        <v>100</v>
      </c>
      <c r="C177" s="78" t="s">
        <v>75</v>
      </c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</row>
    <row r="178" ht="15.75" customHeight="1">
      <c r="A178" s="77">
        <v>44541.0</v>
      </c>
      <c r="B178" s="58" t="s">
        <v>101</v>
      </c>
      <c r="C178" s="78" t="s">
        <v>75</v>
      </c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</row>
    <row r="179" ht="15.75" customHeight="1">
      <c r="A179" s="77">
        <v>44541.0</v>
      </c>
      <c r="B179" s="58" t="s">
        <v>105</v>
      </c>
      <c r="C179" s="78" t="s">
        <v>103</v>
      </c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</row>
    <row r="180" ht="15.75" customHeight="1">
      <c r="A180" s="77">
        <v>44541.0</v>
      </c>
      <c r="B180" s="58" t="s">
        <v>107</v>
      </c>
      <c r="C180" s="78" t="s">
        <v>103</v>
      </c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</row>
    <row r="181" ht="15.75" customHeight="1">
      <c r="A181" s="77">
        <v>44541.0</v>
      </c>
      <c r="B181" s="58" t="s">
        <v>109</v>
      </c>
      <c r="C181" s="78" t="s">
        <v>103</v>
      </c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</row>
    <row r="182" ht="15.75" customHeight="1">
      <c r="A182" s="77">
        <v>44541.0</v>
      </c>
      <c r="B182" s="58" t="s">
        <v>111</v>
      </c>
      <c r="C182" s="78" t="s">
        <v>103</v>
      </c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</row>
    <row r="183" ht="15.75" customHeight="1">
      <c r="A183" s="77">
        <v>44541.0</v>
      </c>
      <c r="B183" s="58" t="s">
        <v>112</v>
      </c>
      <c r="C183" s="78" t="s">
        <v>103</v>
      </c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</row>
    <row r="184" ht="15.75" customHeight="1">
      <c r="A184" s="77">
        <v>44546.0</v>
      </c>
      <c r="B184" s="58" t="s">
        <v>67</v>
      </c>
      <c r="C184" s="78" t="s">
        <v>68</v>
      </c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</row>
    <row r="185" ht="15.75" customHeight="1">
      <c r="A185" s="77">
        <v>44546.0</v>
      </c>
      <c r="B185" s="58" t="s">
        <v>69</v>
      </c>
      <c r="C185" s="78" t="s">
        <v>68</v>
      </c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</row>
    <row r="186" ht="15.75" customHeight="1">
      <c r="A186" s="77">
        <v>44546.0</v>
      </c>
      <c r="B186" s="58" t="s">
        <v>70</v>
      </c>
      <c r="C186" s="78" t="s">
        <v>68</v>
      </c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</row>
    <row r="187" ht="15.75" customHeight="1">
      <c r="A187" s="77">
        <v>44546.0</v>
      </c>
      <c r="B187" s="58" t="s">
        <v>77</v>
      </c>
      <c r="C187" s="78" t="s">
        <v>68</v>
      </c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</row>
    <row r="188" ht="15.75" customHeight="1">
      <c r="A188" s="77">
        <v>44546.0</v>
      </c>
      <c r="B188" s="58" t="s">
        <v>74</v>
      </c>
      <c r="C188" s="78" t="s">
        <v>68</v>
      </c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</row>
    <row r="189" ht="15.75" customHeight="1">
      <c r="A189" s="77">
        <v>44546.0</v>
      </c>
      <c r="B189" s="58" t="s">
        <v>79</v>
      </c>
      <c r="C189" s="78" t="s">
        <v>75</v>
      </c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</row>
    <row r="190" ht="15.75" customHeight="1">
      <c r="A190" s="77">
        <v>44546.0</v>
      </c>
      <c r="B190" s="58" t="s">
        <v>71</v>
      </c>
      <c r="C190" s="78" t="s">
        <v>68</v>
      </c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</row>
    <row r="191" ht="15.75" customHeight="1">
      <c r="A191" s="77">
        <v>44546.0</v>
      </c>
      <c r="B191" s="58" t="s">
        <v>102</v>
      </c>
      <c r="C191" s="78" t="s">
        <v>68</v>
      </c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</row>
    <row r="192" ht="15.75" customHeight="1">
      <c r="A192" s="77">
        <v>44546.0</v>
      </c>
      <c r="B192" s="58" t="s">
        <v>73</v>
      </c>
      <c r="C192" s="78" t="s">
        <v>68</v>
      </c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</row>
    <row r="193" ht="15.75" customHeight="1">
      <c r="A193" s="77">
        <v>44546.0</v>
      </c>
      <c r="B193" s="58" t="s">
        <v>81</v>
      </c>
      <c r="C193" s="78" t="s">
        <v>75</v>
      </c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</row>
    <row r="194" ht="15.75" customHeight="1">
      <c r="A194" s="77">
        <v>44546.0</v>
      </c>
      <c r="B194" s="58" t="s">
        <v>83</v>
      </c>
      <c r="C194" s="78" t="s">
        <v>75</v>
      </c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</row>
    <row r="195" ht="15.75" customHeight="1">
      <c r="A195" s="77">
        <v>44546.0</v>
      </c>
      <c r="B195" s="58" t="s">
        <v>85</v>
      </c>
      <c r="C195" s="78" t="s">
        <v>75</v>
      </c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</row>
    <row r="196" ht="15.75" customHeight="1">
      <c r="A196" s="77">
        <v>44546.0</v>
      </c>
      <c r="B196" s="58" t="s">
        <v>86</v>
      </c>
      <c r="C196" s="78" t="s">
        <v>75</v>
      </c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</row>
    <row r="197" ht="15.75" customHeight="1">
      <c r="A197" s="77">
        <v>44546.0</v>
      </c>
      <c r="B197" s="58" t="s">
        <v>88</v>
      </c>
      <c r="C197" s="78" t="s">
        <v>75</v>
      </c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</row>
    <row r="198" ht="15.75" customHeight="1">
      <c r="A198" s="77">
        <v>44546.0</v>
      </c>
      <c r="B198" s="58" t="s">
        <v>90</v>
      </c>
      <c r="C198" s="78" t="s">
        <v>75</v>
      </c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</row>
    <row r="199" ht="15.75" customHeight="1">
      <c r="A199" s="77">
        <v>44546.0</v>
      </c>
      <c r="B199" s="58" t="s">
        <v>92</v>
      </c>
      <c r="C199" s="78" t="s">
        <v>75</v>
      </c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</row>
    <row r="200" ht="15.75" customHeight="1">
      <c r="A200" s="77">
        <v>44546.0</v>
      </c>
      <c r="B200" s="58" t="s">
        <v>94</v>
      </c>
      <c r="C200" s="78" t="s">
        <v>75</v>
      </c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</row>
    <row r="201" ht="15.75" customHeight="1">
      <c r="A201" s="77">
        <v>44546.0</v>
      </c>
      <c r="B201" s="58" t="s">
        <v>96</v>
      </c>
      <c r="C201" s="78" t="s">
        <v>75</v>
      </c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</row>
    <row r="202" ht="15.75" customHeight="1">
      <c r="A202" s="77">
        <v>44546.0</v>
      </c>
      <c r="B202" s="58" t="s">
        <v>97</v>
      </c>
      <c r="C202" s="78" t="s">
        <v>75</v>
      </c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</row>
    <row r="203" ht="15.75" customHeight="1">
      <c r="A203" s="77">
        <v>44546.0</v>
      </c>
      <c r="B203" s="58" t="s">
        <v>98</v>
      </c>
      <c r="C203" s="78" t="s">
        <v>75</v>
      </c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</row>
    <row r="204" ht="15.75" customHeight="1">
      <c r="A204" s="77">
        <v>44546.0</v>
      </c>
      <c r="B204" s="58" t="s">
        <v>99</v>
      </c>
      <c r="C204" s="78" t="s">
        <v>75</v>
      </c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</row>
    <row r="205" ht="15.75" customHeight="1">
      <c r="A205" s="77">
        <v>44546.0</v>
      </c>
      <c r="B205" s="58" t="s">
        <v>100</v>
      </c>
      <c r="C205" s="78" t="s">
        <v>75</v>
      </c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</row>
    <row r="206" ht="15.75" customHeight="1">
      <c r="A206" s="77">
        <v>44546.0</v>
      </c>
      <c r="B206" s="58" t="s">
        <v>101</v>
      </c>
      <c r="C206" s="78" t="s">
        <v>75</v>
      </c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</row>
    <row r="207" ht="15.75" customHeight="1">
      <c r="A207" s="77">
        <v>44546.0</v>
      </c>
      <c r="B207" s="58" t="s">
        <v>105</v>
      </c>
      <c r="C207" s="78" t="s">
        <v>103</v>
      </c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</row>
    <row r="208" ht="15.75" customHeight="1">
      <c r="A208" s="77">
        <v>44546.0</v>
      </c>
      <c r="B208" s="58" t="s">
        <v>107</v>
      </c>
      <c r="C208" s="78" t="s">
        <v>103</v>
      </c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</row>
    <row r="209" ht="15.75" customHeight="1">
      <c r="A209" s="77">
        <v>44546.0</v>
      </c>
      <c r="B209" s="58" t="s">
        <v>109</v>
      </c>
      <c r="C209" s="78" t="s">
        <v>103</v>
      </c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</row>
    <row r="210" ht="15.75" customHeight="1">
      <c r="A210" s="77">
        <v>44546.0</v>
      </c>
      <c r="B210" s="58" t="s">
        <v>111</v>
      </c>
      <c r="C210" s="78" t="s">
        <v>103</v>
      </c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</row>
    <row r="211" ht="15.75" customHeight="1">
      <c r="A211" s="77">
        <v>44546.0</v>
      </c>
      <c r="B211" s="58" t="s">
        <v>112</v>
      </c>
      <c r="C211" s="78" t="s">
        <v>103</v>
      </c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</row>
    <row r="212" ht="15.75" customHeight="1">
      <c r="A212" s="77">
        <v>44547.0</v>
      </c>
      <c r="B212" s="58" t="s">
        <v>67</v>
      </c>
      <c r="C212" s="78" t="s">
        <v>68</v>
      </c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</row>
    <row r="213" ht="15.75" customHeight="1">
      <c r="A213" s="77">
        <v>44547.0</v>
      </c>
      <c r="B213" s="58" t="s">
        <v>69</v>
      </c>
      <c r="C213" s="78" t="s">
        <v>68</v>
      </c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</row>
    <row r="214" ht="15.75" customHeight="1">
      <c r="A214" s="77">
        <v>44547.0</v>
      </c>
      <c r="B214" s="58" t="s">
        <v>70</v>
      </c>
      <c r="C214" s="78" t="s">
        <v>68</v>
      </c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</row>
    <row r="215" ht="15.75" customHeight="1">
      <c r="A215" s="77">
        <v>44547.0</v>
      </c>
      <c r="B215" s="58" t="s">
        <v>74</v>
      </c>
      <c r="C215" s="78" t="s">
        <v>68</v>
      </c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</row>
    <row r="216" ht="15.75" customHeight="1">
      <c r="A216" s="77">
        <v>44547.0</v>
      </c>
      <c r="B216" s="58" t="s">
        <v>79</v>
      </c>
      <c r="C216" s="78" t="s">
        <v>75</v>
      </c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</row>
    <row r="217" ht="15.75" customHeight="1">
      <c r="A217" s="77">
        <v>44547.0</v>
      </c>
      <c r="B217" s="58" t="s">
        <v>71</v>
      </c>
      <c r="C217" s="78" t="s">
        <v>68</v>
      </c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</row>
    <row r="218" ht="15.75" customHeight="1">
      <c r="A218" s="77">
        <v>44547.0</v>
      </c>
      <c r="B218" s="58" t="s">
        <v>102</v>
      </c>
      <c r="C218" s="78" t="s">
        <v>68</v>
      </c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</row>
    <row r="219" ht="15.75" customHeight="1">
      <c r="A219" s="77">
        <v>44547.0</v>
      </c>
      <c r="B219" s="58" t="s">
        <v>73</v>
      </c>
      <c r="C219" s="78" t="s">
        <v>68</v>
      </c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</row>
    <row r="220" ht="15.75" customHeight="1">
      <c r="A220" s="77">
        <v>44547.0</v>
      </c>
      <c r="B220" s="58" t="s">
        <v>77</v>
      </c>
      <c r="C220" s="78" t="s">
        <v>75</v>
      </c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</row>
    <row r="221" ht="15.75" customHeight="1">
      <c r="A221" s="77">
        <v>44547.0</v>
      </c>
      <c r="B221" s="58" t="s">
        <v>81</v>
      </c>
      <c r="C221" s="78" t="s">
        <v>75</v>
      </c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</row>
    <row r="222" ht="15.75" customHeight="1">
      <c r="A222" s="77">
        <v>44547.0</v>
      </c>
      <c r="B222" s="58" t="s">
        <v>83</v>
      </c>
      <c r="C222" s="78" t="s">
        <v>75</v>
      </c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</row>
    <row r="223" ht="15.75" customHeight="1">
      <c r="A223" s="77">
        <v>44547.0</v>
      </c>
      <c r="B223" s="58" t="s">
        <v>85</v>
      </c>
      <c r="C223" s="78" t="s">
        <v>75</v>
      </c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</row>
    <row r="224" ht="15.75" customHeight="1">
      <c r="A224" s="77">
        <v>44547.0</v>
      </c>
      <c r="B224" s="58" t="s">
        <v>86</v>
      </c>
      <c r="C224" s="78" t="s">
        <v>75</v>
      </c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</row>
    <row r="225" ht="15.75" customHeight="1">
      <c r="A225" s="77">
        <v>44547.0</v>
      </c>
      <c r="B225" s="58" t="s">
        <v>88</v>
      </c>
      <c r="C225" s="78" t="s">
        <v>75</v>
      </c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</row>
    <row r="226" ht="15.75" customHeight="1">
      <c r="A226" s="77">
        <v>44547.0</v>
      </c>
      <c r="B226" s="58" t="s">
        <v>90</v>
      </c>
      <c r="C226" s="78" t="s">
        <v>75</v>
      </c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</row>
    <row r="227" ht="15.75" customHeight="1">
      <c r="A227" s="77">
        <v>44547.0</v>
      </c>
      <c r="B227" s="58" t="s">
        <v>92</v>
      </c>
      <c r="C227" s="78" t="s">
        <v>75</v>
      </c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</row>
    <row r="228" ht="15.75" customHeight="1">
      <c r="A228" s="77">
        <v>44547.0</v>
      </c>
      <c r="B228" s="58" t="s">
        <v>94</v>
      </c>
      <c r="C228" s="78" t="s">
        <v>75</v>
      </c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</row>
    <row r="229" ht="15.75" customHeight="1">
      <c r="A229" s="77">
        <v>44547.0</v>
      </c>
      <c r="B229" s="58" t="s">
        <v>96</v>
      </c>
      <c r="C229" s="78" t="s">
        <v>75</v>
      </c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</row>
    <row r="230" ht="15.75" customHeight="1">
      <c r="A230" s="77">
        <v>44547.0</v>
      </c>
      <c r="B230" s="58" t="s">
        <v>97</v>
      </c>
      <c r="C230" s="78" t="s">
        <v>75</v>
      </c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</row>
    <row r="231" ht="15.75" customHeight="1">
      <c r="A231" s="77">
        <v>44547.0</v>
      </c>
      <c r="B231" s="58" t="s">
        <v>98</v>
      </c>
      <c r="C231" s="78" t="s">
        <v>75</v>
      </c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</row>
    <row r="232" ht="15.75" customHeight="1">
      <c r="A232" s="77">
        <v>44547.0</v>
      </c>
      <c r="B232" s="58" t="s">
        <v>99</v>
      </c>
      <c r="C232" s="78" t="s">
        <v>75</v>
      </c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</row>
    <row r="233" ht="15.75" customHeight="1">
      <c r="A233" s="77">
        <v>44547.0</v>
      </c>
      <c r="B233" s="58" t="s">
        <v>100</v>
      </c>
      <c r="C233" s="78" t="s">
        <v>75</v>
      </c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</row>
    <row r="234" ht="15.75" customHeight="1">
      <c r="A234" s="77">
        <v>44547.0</v>
      </c>
      <c r="B234" s="58" t="s">
        <v>101</v>
      </c>
      <c r="C234" s="78" t="s">
        <v>75</v>
      </c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</row>
    <row r="235" ht="15.75" customHeight="1">
      <c r="A235" s="77">
        <v>44547.0</v>
      </c>
      <c r="B235" s="58" t="s">
        <v>105</v>
      </c>
      <c r="C235" s="78" t="s">
        <v>103</v>
      </c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</row>
    <row r="236" ht="15.75" customHeight="1">
      <c r="A236" s="77">
        <v>44547.0</v>
      </c>
      <c r="B236" s="58" t="s">
        <v>107</v>
      </c>
      <c r="C236" s="78" t="s">
        <v>103</v>
      </c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</row>
    <row r="237" ht="15.75" customHeight="1">
      <c r="A237" s="77">
        <v>44547.0</v>
      </c>
      <c r="B237" s="58" t="s">
        <v>109</v>
      </c>
      <c r="C237" s="78" t="s">
        <v>103</v>
      </c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</row>
    <row r="238" ht="15.75" customHeight="1">
      <c r="A238" s="77">
        <v>44547.0</v>
      </c>
      <c r="B238" s="58" t="s">
        <v>111</v>
      </c>
      <c r="C238" s="78" t="s">
        <v>103</v>
      </c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</row>
    <row r="239" ht="15.75" customHeight="1">
      <c r="A239" s="77">
        <v>44547.0</v>
      </c>
      <c r="B239" s="58" t="s">
        <v>112</v>
      </c>
      <c r="C239" s="78" t="s">
        <v>103</v>
      </c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</row>
    <row r="240" ht="15.75" customHeight="1">
      <c r="A240" s="77">
        <v>44548.0</v>
      </c>
      <c r="B240" s="58" t="s">
        <v>67</v>
      </c>
      <c r="C240" s="78" t="s">
        <v>68</v>
      </c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</row>
    <row r="241" ht="15.75" customHeight="1">
      <c r="A241" s="77">
        <v>44548.0</v>
      </c>
      <c r="B241" s="58" t="s">
        <v>69</v>
      </c>
      <c r="C241" s="78" t="s">
        <v>68</v>
      </c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</row>
    <row r="242" ht="15.75" customHeight="1">
      <c r="A242" s="77">
        <v>44548.0</v>
      </c>
      <c r="B242" s="58" t="s">
        <v>70</v>
      </c>
      <c r="C242" s="78" t="s">
        <v>68</v>
      </c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</row>
    <row r="243" ht="15.75" customHeight="1">
      <c r="A243" s="77">
        <v>44548.0</v>
      </c>
      <c r="B243" s="58" t="s">
        <v>74</v>
      </c>
      <c r="C243" s="78" t="s">
        <v>68</v>
      </c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</row>
    <row r="244" ht="15.75" customHeight="1">
      <c r="A244" s="77">
        <v>44548.0</v>
      </c>
      <c r="B244" s="58" t="s">
        <v>79</v>
      </c>
      <c r="C244" s="78" t="s">
        <v>75</v>
      </c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</row>
    <row r="245" ht="15.75" customHeight="1">
      <c r="A245" s="77">
        <v>44548.0</v>
      </c>
      <c r="B245" s="58" t="s">
        <v>71</v>
      </c>
      <c r="C245" s="78" t="s">
        <v>68</v>
      </c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</row>
    <row r="246" ht="15.75" customHeight="1">
      <c r="A246" s="77">
        <v>44548.0</v>
      </c>
      <c r="B246" s="58" t="s">
        <v>102</v>
      </c>
      <c r="C246" s="78" t="s">
        <v>68</v>
      </c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</row>
    <row r="247" ht="15.75" customHeight="1">
      <c r="A247" s="77">
        <v>44548.0</v>
      </c>
      <c r="B247" s="58" t="s">
        <v>73</v>
      </c>
      <c r="C247" s="78" t="s">
        <v>68</v>
      </c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</row>
    <row r="248" ht="15.75" customHeight="1">
      <c r="A248" s="77">
        <v>44548.0</v>
      </c>
      <c r="B248" s="58" t="s">
        <v>77</v>
      </c>
      <c r="C248" s="78" t="s">
        <v>75</v>
      </c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</row>
    <row r="249" ht="15.75" customHeight="1">
      <c r="A249" s="77">
        <v>44548.0</v>
      </c>
      <c r="B249" s="58" t="s">
        <v>81</v>
      </c>
      <c r="C249" s="78" t="s">
        <v>75</v>
      </c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</row>
    <row r="250" ht="15.75" customHeight="1">
      <c r="A250" s="77">
        <v>44548.0</v>
      </c>
      <c r="B250" s="58" t="s">
        <v>83</v>
      </c>
      <c r="C250" s="78" t="s">
        <v>75</v>
      </c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</row>
    <row r="251" ht="15.75" customHeight="1">
      <c r="A251" s="77">
        <v>44548.0</v>
      </c>
      <c r="B251" s="58" t="s">
        <v>85</v>
      </c>
      <c r="C251" s="78" t="s">
        <v>75</v>
      </c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</row>
    <row r="252" ht="15.75" customHeight="1">
      <c r="A252" s="77">
        <v>44548.0</v>
      </c>
      <c r="B252" s="58" t="s">
        <v>86</v>
      </c>
      <c r="C252" s="78" t="s">
        <v>75</v>
      </c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</row>
    <row r="253" ht="15.75" customHeight="1">
      <c r="A253" s="77">
        <v>44548.0</v>
      </c>
      <c r="B253" s="58" t="s">
        <v>88</v>
      </c>
      <c r="C253" s="78" t="s">
        <v>75</v>
      </c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</row>
    <row r="254" ht="15.75" customHeight="1">
      <c r="A254" s="77">
        <v>44548.0</v>
      </c>
      <c r="B254" s="58" t="s">
        <v>90</v>
      </c>
      <c r="C254" s="78" t="s">
        <v>75</v>
      </c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</row>
    <row r="255" ht="15.75" customHeight="1">
      <c r="A255" s="77">
        <v>44548.0</v>
      </c>
      <c r="B255" s="58" t="s">
        <v>92</v>
      </c>
      <c r="C255" s="78" t="s">
        <v>75</v>
      </c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</row>
    <row r="256" ht="15.75" customHeight="1">
      <c r="A256" s="77">
        <v>44548.0</v>
      </c>
      <c r="B256" s="58" t="s">
        <v>94</v>
      </c>
      <c r="C256" s="78" t="s">
        <v>75</v>
      </c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</row>
    <row r="257" ht="15.75" customHeight="1">
      <c r="A257" s="77">
        <v>44548.0</v>
      </c>
      <c r="B257" s="58" t="s">
        <v>96</v>
      </c>
      <c r="C257" s="78" t="s">
        <v>75</v>
      </c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</row>
    <row r="258" ht="15.75" customHeight="1">
      <c r="A258" s="77">
        <v>44548.0</v>
      </c>
      <c r="B258" s="58" t="s">
        <v>97</v>
      </c>
      <c r="C258" s="78" t="s">
        <v>75</v>
      </c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</row>
    <row r="259" ht="15.75" customHeight="1">
      <c r="A259" s="77">
        <v>44548.0</v>
      </c>
      <c r="B259" s="58" t="s">
        <v>98</v>
      </c>
      <c r="C259" s="78" t="s">
        <v>75</v>
      </c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</row>
    <row r="260" ht="15.75" customHeight="1">
      <c r="A260" s="77">
        <v>44548.0</v>
      </c>
      <c r="B260" s="58" t="s">
        <v>99</v>
      </c>
      <c r="C260" s="78" t="s">
        <v>75</v>
      </c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</row>
    <row r="261" ht="15.75" customHeight="1">
      <c r="A261" s="77">
        <v>44548.0</v>
      </c>
      <c r="B261" s="58" t="s">
        <v>100</v>
      </c>
      <c r="C261" s="78" t="s">
        <v>75</v>
      </c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</row>
    <row r="262" ht="15.75" customHeight="1">
      <c r="A262" s="77">
        <v>44548.0</v>
      </c>
      <c r="B262" s="58" t="s">
        <v>101</v>
      </c>
      <c r="C262" s="78" t="s">
        <v>75</v>
      </c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</row>
    <row r="263" ht="15.75" customHeight="1">
      <c r="A263" s="77">
        <v>44548.0</v>
      </c>
      <c r="B263" s="58" t="s">
        <v>105</v>
      </c>
      <c r="C263" s="78" t="s">
        <v>103</v>
      </c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</row>
    <row r="264" ht="15.75" customHeight="1">
      <c r="A264" s="77">
        <v>44548.0</v>
      </c>
      <c r="B264" s="58" t="s">
        <v>107</v>
      </c>
      <c r="C264" s="78" t="s">
        <v>103</v>
      </c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</row>
    <row r="265" ht="15.75" customHeight="1">
      <c r="A265" s="77">
        <v>44548.0</v>
      </c>
      <c r="B265" s="58" t="s">
        <v>109</v>
      </c>
      <c r="C265" s="78" t="s">
        <v>103</v>
      </c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</row>
    <row r="266" ht="15.75" customHeight="1">
      <c r="A266" s="77">
        <v>44548.0</v>
      </c>
      <c r="B266" s="58" t="s">
        <v>111</v>
      </c>
      <c r="C266" s="78" t="s">
        <v>103</v>
      </c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</row>
    <row r="267" ht="15.75" customHeight="1">
      <c r="A267" s="77">
        <v>44548.0</v>
      </c>
      <c r="B267" s="58" t="s">
        <v>112</v>
      </c>
      <c r="C267" s="78" t="s">
        <v>103</v>
      </c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</row>
    <row r="268" ht="15.75" customHeight="1">
      <c r="A268" s="77">
        <v>44550.0</v>
      </c>
      <c r="B268" s="58" t="s">
        <v>67</v>
      </c>
      <c r="C268" s="78" t="s">
        <v>68</v>
      </c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</row>
    <row r="269" ht="15.75" customHeight="1">
      <c r="A269" s="77">
        <v>44550.0</v>
      </c>
      <c r="B269" s="58" t="s">
        <v>69</v>
      </c>
      <c r="C269" s="78" t="s">
        <v>68</v>
      </c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</row>
    <row r="270" ht="15.75" customHeight="1">
      <c r="A270" s="77">
        <v>44550.0</v>
      </c>
      <c r="B270" s="58" t="s">
        <v>70</v>
      </c>
      <c r="C270" s="78" t="s">
        <v>68</v>
      </c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</row>
    <row r="271" ht="15.75" customHeight="1">
      <c r="A271" s="77">
        <v>44550.0</v>
      </c>
      <c r="B271" s="58" t="s">
        <v>74</v>
      </c>
      <c r="C271" s="78" t="s">
        <v>68</v>
      </c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</row>
    <row r="272" ht="15.75" customHeight="1">
      <c r="A272" s="77">
        <v>44550.0</v>
      </c>
      <c r="B272" s="58" t="s">
        <v>79</v>
      </c>
      <c r="C272" s="78" t="s">
        <v>75</v>
      </c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</row>
    <row r="273" ht="15.75" customHeight="1">
      <c r="A273" s="77">
        <v>44550.0</v>
      </c>
      <c r="B273" s="58" t="s">
        <v>71</v>
      </c>
      <c r="C273" s="78" t="s">
        <v>68</v>
      </c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</row>
    <row r="274" ht="15.75" customHeight="1">
      <c r="A274" s="77">
        <v>44550.0</v>
      </c>
      <c r="B274" s="58" t="s">
        <v>73</v>
      </c>
      <c r="C274" s="78" t="s">
        <v>68</v>
      </c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</row>
    <row r="275" ht="15.75" customHeight="1">
      <c r="A275" s="77">
        <v>44550.0</v>
      </c>
      <c r="B275" s="58" t="s">
        <v>77</v>
      </c>
      <c r="C275" s="78" t="s">
        <v>75</v>
      </c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</row>
    <row r="276" ht="15.75" customHeight="1">
      <c r="A276" s="77">
        <v>44550.0</v>
      </c>
      <c r="B276" s="58" t="s">
        <v>81</v>
      </c>
      <c r="C276" s="78" t="s">
        <v>75</v>
      </c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</row>
    <row r="277" ht="15.75" customHeight="1">
      <c r="A277" s="77">
        <v>44550.0</v>
      </c>
      <c r="B277" s="58" t="s">
        <v>83</v>
      </c>
      <c r="C277" s="78" t="s">
        <v>75</v>
      </c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</row>
    <row r="278" ht="15.75" customHeight="1">
      <c r="A278" s="77">
        <v>44550.0</v>
      </c>
      <c r="B278" s="58" t="s">
        <v>85</v>
      </c>
      <c r="C278" s="78" t="s">
        <v>75</v>
      </c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</row>
    <row r="279" ht="15.75" customHeight="1">
      <c r="A279" s="77">
        <v>44550.0</v>
      </c>
      <c r="B279" s="58" t="s">
        <v>86</v>
      </c>
      <c r="C279" s="78" t="s">
        <v>75</v>
      </c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</row>
    <row r="280" ht="15.75" customHeight="1">
      <c r="A280" s="77">
        <v>44550.0</v>
      </c>
      <c r="B280" s="58" t="s">
        <v>88</v>
      </c>
      <c r="C280" s="78" t="s">
        <v>75</v>
      </c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</row>
    <row r="281" ht="15.75" customHeight="1">
      <c r="A281" s="77">
        <v>44550.0</v>
      </c>
      <c r="B281" s="58" t="s">
        <v>90</v>
      </c>
      <c r="C281" s="78" t="s">
        <v>75</v>
      </c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</row>
    <row r="282" ht="15.75" customHeight="1">
      <c r="A282" s="77">
        <v>44550.0</v>
      </c>
      <c r="B282" s="58" t="s">
        <v>92</v>
      </c>
      <c r="C282" s="78" t="s">
        <v>75</v>
      </c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</row>
    <row r="283" ht="15.75" customHeight="1">
      <c r="A283" s="77">
        <v>44550.0</v>
      </c>
      <c r="B283" s="58" t="s">
        <v>94</v>
      </c>
      <c r="C283" s="78" t="s">
        <v>75</v>
      </c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</row>
    <row r="284" ht="15.75" customHeight="1">
      <c r="A284" s="77">
        <v>44550.0</v>
      </c>
      <c r="B284" s="58" t="s">
        <v>96</v>
      </c>
      <c r="C284" s="78" t="s">
        <v>75</v>
      </c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</row>
    <row r="285" ht="15.75" customHeight="1">
      <c r="A285" s="77">
        <v>44550.0</v>
      </c>
      <c r="B285" s="58" t="s">
        <v>97</v>
      </c>
      <c r="C285" s="78" t="s">
        <v>75</v>
      </c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</row>
    <row r="286" ht="15.75" customHeight="1">
      <c r="A286" s="77">
        <v>44550.0</v>
      </c>
      <c r="B286" s="58" t="s">
        <v>98</v>
      </c>
      <c r="C286" s="78" t="s">
        <v>75</v>
      </c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</row>
    <row r="287" ht="15.75" customHeight="1">
      <c r="A287" s="77">
        <v>44550.0</v>
      </c>
      <c r="B287" s="58" t="s">
        <v>99</v>
      </c>
      <c r="C287" s="78" t="s">
        <v>75</v>
      </c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</row>
    <row r="288" ht="15.75" customHeight="1">
      <c r="A288" s="77">
        <v>44550.0</v>
      </c>
      <c r="B288" s="58" t="s">
        <v>100</v>
      </c>
      <c r="C288" s="78" t="s">
        <v>75</v>
      </c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</row>
    <row r="289" ht="15.75" customHeight="1">
      <c r="A289" s="77">
        <v>44550.0</v>
      </c>
      <c r="B289" s="58" t="s">
        <v>101</v>
      </c>
      <c r="C289" s="78" t="s">
        <v>75</v>
      </c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</row>
    <row r="290" ht="15.75" customHeight="1">
      <c r="A290" s="77">
        <v>44550.0</v>
      </c>
      <c r="B290" s="58" t="s">
        <v>102</v>
      </c>
      <c r="C290" s="78" t="s">
        <v>103</v>
      </c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</row>
    <row r="291" ht="15.75" customHeight="1">
      <c r="A291" s="77">
        <v>44550.0</v>
      </c>
      <c r="B291" s="58" t="s">
        <v>105</v>
      </c>
      <c r="C291" s="78" t="s">
        <v>103</v>
      </c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</row>
    <row r="292" ht="15.75" customHeight="1">
      <c r="A292" s="77">
        <v>44550.0</v>
      </c>
      <c r="B292" s="58" t="s">
        <v>107</v>
      </c>
      <c r="C292" s="78" t="s">
        <v>103</v>
      </c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</row>
    <row r="293" ht="15.75" customHeight="1">
      <c r="A293" s="77">
        <v>44550.0</v>
      </c>
      <c r="B293" s="58" t="s">
        <v>109</v>
      </c>
      <c r="C293" s="78" t="s">
        <v>103</v>
      </c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</row>
    <row r="294" ht="15.75" customHeight="1">
      <c r="A294" s="77">
        <v>44550.0</v>
      </c>
      <c r="B294" s="58" t="s">
        <v>111</v>
      </c>
      <c r="C294" s="78" t="s">
        <v>103</v>
      </c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</row>
    <row r="295" ht="15.75" customHeight="1">
      <c r="A295" s="77">
        <v>44550.0</v>
      </c>
      <c r="B295" s="58" t="s">
        <v>112</v>
      </c>
      <c r="C295" s="78" t="s">
        <v>103</v>
      </c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</row>
    <row r="296" ht="15.75" customHeight="1">
      <c r="A296" s="77">
        <v>44556.0</v>
      </c>
      <c r="B296" s="58" t="s">
        <v>67</v>
      </c>
      <c r="C296" s="78" t="s">
        <v>68</v>
      </c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</row>
    <row r="297" ht="15.75" customHeight="1">
      <c r="A297" s="77">
        <v>44556.0</v>
      </c>
      <c r="B297" s="58" t="s">
        <v>69</v>
      </c>
      <c r="C297" s="78" t="s">
        <v>68</v>
      </c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</row>
    <row r="298" ht="15.75" customHeight="1">
      <c r="A298" s="77">
        <v>44556.0</v>
      </c>
      <c r="B298" s="58" t="s">
        <v>70</v>
      </c>
      <c r="C298" s="78" t="s">
        <v>68</v>
      </c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</row>
    <row r="299" ht="15.75" customHeight="1">
      <c r="A299" s="77">
        <v>44556.0</v>
      </c>
      <c r="B299" s="58" t="s">
        <v>74</v>
      </c>
      <c r="C299" s="78" t="s">
        <v>68</v>
      </c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</row>
    <row r="300" ht="15.75" customHeight="1">
      <c r="A300" s="77">
        <v>44556.0</v>
      </c>
      <c r="B300" s="58" t="s">
        <v>79</v>
      </c>
      <c r="C300" s="78" t="s">
        <v>75</v>
      </c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</row>
    <row r="301" ht="15.75" customHeight="1">
      <c r="A301" s="77">
        <v>44556.0</v>
      </c>
      <c r="B301" s="58" t="s">
        <v>71</v>
      </c>
      <c r="C301" s="78" t="s">
        <v>68</v>
      </c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</row>
    <row r="302" ht="15.75" customHeight="1">
      <c r="A302" s="77">
        <v>44556.0</v>
      </c>
      <c r="B302" s="58" t="s">
        <v>73</v>
      </c>
      <c r="C302" s="78" t="s">
        <v>68</v>
      </c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</row>
    <row r="303" ht="15.75" customHeight="1">
      <c r="A303" s="77">
        <v>44556.0</v>
      </c>
      <c r="B303" s="58" t="s">
        <v>77</v>
      </c>
      <c r="C303" s="78" t="s">
        <v>75</v>
      </c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</row>
    <row r="304" ht="15.75" customHeight="1">
      <c r="A304" s="77">
        <v>44556.0</v>
      </c>
      <c r="B304" s="58" t="s">
        <v>81</v>
      </c>
      <c r="C304" s="78" t="s">
        <v>75</v>
      </c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</row>
    <row r="305" ht="15.75" customHeight="1">
      <c r="A305" s="77">
        <v>44556.0</v>
      </c>
      <c r="B305" s="58" t="s">
        <v>83</v>
      </c>
      <c r="C305" s="78" t="s">
        <v>75</v>
      </c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</row>
    <row r="306" ht="15.75" customHeight="1">
      <c r="A306" s="77">
        <v>44556.0</v>
      </c>
      <c r="B306" s="58" t="s">
        <v>85</v>
      </c>
      <c r="C306" s="78" t="s">
        <v>75</v>
      </c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</row>
    <row r="307" ht="15.75" customHeight="1">
      <c r="A307" s="77">
        <v>44556.0</v>
      </c>
      <c r="B307" s="58" t="s">
        <v>86</v>
      </c>
      <c r="C307" s="78" t="s">
        <v>75</v>
      </c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</row>
    <row r="308" ht="15.75" customHeight="1">
      <c r="A308" s="77">
        <v>44556.0</v>
      </c>
      <c r="B308" s="58" t="s">
        <v>88</v>
      </c>
      <c r="C308" s="78" t="s">
        <v>75</v>
      </c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</row>
    <row r="309" ht="15.75" customHeight="1">
      <c r="A309" s="77">
        <v>44556.0</v>
      </c>
      <c r="B309" s="58" t="s">
        <v>90</v>
      </c>
      <c r="C309" s="78" t="s">
        <v>75</v>
      </c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</row>
    <row r="310" ht="15.75" customHeight="1">
      <c r="A310" s="77">
        <v>44556.0</v>
      </c>
      <c r="B310" s="58" t="s">
        <v>92</v>
      </c>
      <c r="C310" s="78" t="s">
        <v>75</v>
      </c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</row>
    <row r="311" ht="15.75" customHeight="1">
      <c r="A311" s="77">
        <v>44556.0</v>
      </c>
      <c r="B311" s="58" t="s">
        <v>94</v>
      </c>
      <c r="C311" s="78" t="s">
        <v>75</v>
      </c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</row>
    <row r="312" ht="15.75" customHeight="1">
      <c r="A312" s="77">
        <v>44556.0</v>
      </c>
      <c r="B312" s="58" t="s">
        <v>96</v>
      </c>
      <c r="C312" s="78" t="s">
        <v>75</v>
      </c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</row>
    <row r="313" ht="15.75" customHeight="1">
      <c r="A313" s="77">
        <v>44556.0</v>
      </c>
      <c r="B313" s="58" t="s">
        <v>97</v>
      </c>
      <c r="C313" s="78" t="s">
        <v>75</v>
      </c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</row>
    <row r="314" ht="15.75" customHeight="1">
      <c r="A314" s="77">
        <v>44556.0</v>
      </c>
      <c r="B314" s="58" t="s">
        <v>98</v>
      </c>
      <c r="C314" s="78" t="s">
        <v>75</v>
      </c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</row>
    <row r="315" ht="15.75" customHeight="1">
      <c r="A315" s="77">
        <v>44556.0</v>
      </c>
      <c r="B315" s="58" t="s">
        <v>99</v>
      </c>
      <c r="C315" s="78" t="s">
        <v>75</v>
      </c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</row>
    <row r="316" ht="15.75" customHeight="1">
      <c r="A316" s="77">
        <v>44556.0</v>
      </c>
      <c r="B316" s="58" t="s">
        <v>100</v>
      </c>
      <c r="C316" s="78" t="s">
        <v>75</v>
      </c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</row>
    <row r="317" ht="15.75" customHeight="1">
      <c r="A317" s="77">
        <v>44556.0</v>
      </c>
      <c r="B317" s="58" t="s">
        <v>101</v>
      </c>
      <c r="C317" s="78" t="s">
        <v>75</v>
      </c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</row>
    <row r="318" ht="15.75" customHeight="1">
      <c r="A318" s="77">
        <v>44556.0</v>
      </c>
      <c r="B318" s="58" t="s">
        <v>102</v>
      </c>
      <c r="C318" s="78" t="s">
        <v>103</v>
      </c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</row>
    <row r="319" ht="15.75" customHeight="1">
      <c r="A319" s="77">
        <v>44556.0</v>
      </c>
      <c r="B319" s="58" t="s">
        <v>105</v>
      </c>
      <c r="C319" s="78" t="s">
        <v>103</v>
      </c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</row>
    <row r="320" ht="15.75" customHeight="1">
      <c r="A320" s="77">
        <v>44556.0</v>
      </c>
      <c r="B320" s="58" t="s">
        <v>107</v>
      </c>
      <c r="C320" s="78" t="s">
        <v>103</v>
      </c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</row>
    <row r="321" ht="15.75" customHeight="1">
      <c r="A321" s="77">
        <v>44556.0</v>
      </c>
      <c r="B321" s="58" t="s">
        <v>109</v>
      </c>
      <c r="C321" s="78" t="s">
        <v>103</v>
      </c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</row>
    <row r="322" ht="15.75" customHeight="1">
      <c r="A322" s="77">
        <v>44556.0</v>
      </c>
      <c r="B322" s="58" t="s">
        <v>111</v>
      </c>
      <c r="C322" s="78" t="s">
        <v>103</v>
      </c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</row>
    <row r="323" ht="15.75" customHeight="1">
      <c r="A323" s="77">
        <v>44556.0</v>
      </c>
      <c r="B323" s="58" t="s">
        <v>112</v>
      </c>
      <c r="C323" s="78" t="s">
        <v>103</v>
      </c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</row>
    <row r="324" ht="15.75" customHeight="1">
      <c r="A324" s="77">
        <v>44563.0</v>
      </c>
      <c r="B324" s="58" t="s">
        <v>67</v>
      </c>
      <c r="C324" s="78" t="s">
        <v>68</v>
      </c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</row>
    <row r="325" ht="15.75" customHeight="1">
      <c r="A325" s="77">
        <v>44563.0</v>
      </c>
      <c r="B325" s="58" t="s">
        <v>69</v>
      </c>
      <c r="C325" s="78" t="s">
        <v>68</v>
      </c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</row>
    <row r="326" ht="15.75" customHeight="1">
      <c r="A326" s="77">
        <v>44563.0</v>
      </c>
      <c r="B326" s="58" t="s">
        <v>70</v>
      </c>
      <c r="C326" s="78" t="s">
        <v>68</v>
      </c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</row>
    <row r="327" ht="15.75" customHeight="1">
      <c r="A327" s="77">
        <v>44563.0</v>
      </c>
      <c r="B327" s="58" t="s">
        <v>74</v>
      </c>
      <c r="C327" s="78" t="s">
        <v>68</v>
      </c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</row>
    <row r="328" ht="15.75" customHeight="1">
      <c r="A328" s="77">
        <v>44563.0</v>
      </c>
      <c r="B328" s="58" t="s">
        <v>79</v>
      </c>
      <c r="C328" s="78" t="s">
        <v>75</v>
      </c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</row>
    <row r="329" ht="15.75" customHeight="1">
      <c r="A329" s="77">
        <v>44563.0</v>
      </c>
      <c r="B329" s="58" t="s">
        <v>71</v>
      </c>
      <c r="C329" s="78" t="s">
        <v>68</v>
      </c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</row>
    <row r="330" ht="15.75" customHeight="1">
      <c r="A330" s="77">
        <v>44563.0</v>
      </c>
      <c r="B330" s="58" t="s">
        <v>73</v>
      </c>
      <c r="C330" s="78" t="s">
        <v>68</v>
      </c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</row>
    <row r="331" ht="15.75" customHeight="1">
      <c r="A331" s="77">
        <v>44563.0</v>
      </c>
      <c r="B331" s="58" t="s">
        <v>77</v>
      </c>
      <c r="C331" s="78" t="s">
        <v>75</v>
      </c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</row>
    <row r="332" ht="15.75" customHeight="1">
      <c r="A332" s="77">
        <v>44563.0</v>
      </c>
      <c r="B332" s="58" t="s">
        <v>81</v>
      </c>
      <c r="C332" s="78" t="s">
        <v>75</v>
      </c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</row>
    <row r="333" ht="15.75" customHeight="1">
      <c r="A333" s="77">
        <v>44563.0</v>
      </c>
      <c r="B333" s="58" t="s">
        <v>83</v>
      </c>
      <c r="C333" s="78" t="s">
        <v>75</v>
      </c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</row>
    <row r="334" ht="15.75" customHeight="1">
      <c r="A334" s="77">
        <v>44563.0</v>
      </c>
      <c r="B334" s="58" t="s">
        <v>85</v>
      </c>
      <c r="C334" s="78" t="s">
        <v>75</v>
      </c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</row>
    <row r="335" ht="15.75" customHeight="1">
      <c r="A335" s="77">
        <v>44563.0</v>
      </c>
      <c r="B335" s="58" t="s">
        <v>86</v>
      </c>
      <c r="C335" s="78" t="s">
        <v>75</v>
      </c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</row>
    <row r="336" ht="15.75" customHeight="1">
      <c r="A336" s="77">
        <v>44563.0</v>
      </c>
      <c r="B336" s="58" t="s">
        <v>88</v>
      </c>
      <c r="C336" s="78" t="s">
        <v>75</v>
      </c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</row>
    <row r="337" ht="15.75" customHeight="1">
      <c r="A337" s="77">
        <v>44563.0</v>
      </c>
      <c r="B337" s="58" t="s">
        <v>90</v>
      </c>
      <c r="C337" s="78" t="s">
        <v>75</v>
      </c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</row>
    <row r="338" ht="15.75" customHeight="1">
      <c r="A338" s="77">
        <v>44563.0</v>
      </c>
      <c r="B338" s="58" t="s">
        <v>92</v>
      </c>
      <c r="C338" s="78" t="s">
        <v>75</v>
      </c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</row>
    <row r="339" ht="15.75" customHeight="1">
      <c r="A339" s="77">
        <v>44563.0</v>
      </c>
      <c r="B339" s="58" t="s">
        <v>94</v>
      </c>
      <c r="C339" s="78" t="s">
        <v>75</v>
      </c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</row>
    <row r="340" ht="15.75" customHeight="1">
      <c r="A340" s="77">
        <v>44563.0</v>
      </c>
      <c r="B340" s="58" t="s">
        <v>96</v>
      </c>
      <c r="C340" s="78" t="s">
        <v>75</v>
      </c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</row>
    <row r="341" ht="15.75" customHeight="1">
      <c r="A341" s="77">
        <v>44563.0</v>
      </c>
      <c r="B341" s="58" t="s">
        <v>97</v>
      </c>
      <c r="C341" s="78" t="s">
        <v>75</v>
      </c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</row>
    <row r="342" ht="15.75" customHeight="1">
      <c r="A342" s="77">
        <v>44563.0</v>
      </c>
      <c r="B342" s="58" t="s">
        <v>98</v>
      </c>
      <c r="C342" s="78" t="s">
        <v>75</v>
      </c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</row>
    <row r="343" ht="15.75" customHeight="1">
      <c r="A343" s="77">
        <v>44563.0</v>
      </c>
      <c r="B343" s="58" t="s">
        <v>99</v>
      </c>
      <c r="C343" s="78" t="s">
        <v>75</v>
      </c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</row>
    <row r="344" ht="15.75" customHeight="1">
      <c r="A344" s="77">
        <v>44563.0</v>
      </c>
      <c r="B344" s="58" t="s">
        <v>100</v>
      </c>
      <c r="C344" s="78" t="s">
        <v>75</v>
      </c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</row>
    <row r="345" ht="15.75" customHeight="1">
      <c r="A345" s="77">
        <v>44563.0</v>
      </c>
      <c r="B345" s="58" t="s">
        <v>101</v>
      </c>
      <c r="C345" s="78" t="s">
        <v>75</v>
      </c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</row>
    <row r="346" ht="15.75" customHeight="1">
      <c r="A346" s="77">
        <v>44563.0</v>
      </c>
      <c r="B346" s="58" t="s">
        <v>102</v>
      </c>
      <c r="C346" s="78" t="s">
        <v>103</v>
      </c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</row>
    <row r="347" ht="15.75" customHeight="1">
      <c r="A347" s="77">
        <v>44563.0</v>
      </c>
      <c r="B347" s="58" t="s">
        <v>105</v>
      </c>
      <c r="C347" s="78" t="s">
        <v>103</v>
      </c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</row>
    <row r="348" ht="15.75" customHeight="1">
      <c r="A348" s="77">
        <v>44563.0</v>
      </c>
      <c r="B348" s="58" t="s">
        <v>107</v>
      </c>
      <c r="C348" s="78" t="s">
        <v>103</v>
      </c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</row>
    <row r="349" ht="15.75" customHeight="1">
      <c r="A349" s="77">
        <v>44563.0</v>
      </c>
      <c r="B349" s="58" t="s">
        <v>109</v>
      </c>
      <c r="C349" s="78" t="s">
        <v>103</v>
      </c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</row>
    <row r="350" ht="15.75" customHeight="1">
      <c r="A350" s="77">
        <v>44563.0</v>
      </c>
      <c r="B350" s="58" t="s">
        <v>111</v>
      </c>
      <c r="C350" s="78" t="s">
        <v>103</v>
      </c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</row>
    <row r="351" ht="15.75" customHeight="1">
      <c r="A351" s="77">
        <v>44563.0</v>
      </c>
      <c r="B351" s="58" t="s">
        <v>112</v>
      </c>
      <c r="C351" s="78" t="s">
        <v>103</v>
      </c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</row>
    <row r="352" ht="15.75" customHeight="1">
      <c r="A352" s="77">
        <v>44568.0</v>
      </c>
      <c r="B352" s="58" t="s">
        <v>67</v>
      </c>
      <c r="C352" s="78" t="s">
        <v>68</v>
      </c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</row>
    <row r="353" ht="15.75" customHeight="1">
      <c r="A353" s="77">
        <v>44568.0</v>
      </c>
      <c r="B353" s="58" t="s">
        <v>69</v>
      </c>
      <c r="C353" s="78" t="s">
        <v>68</v>
      </c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</row>
    <row r="354" ht="15.75" customHeight="1">
      <c r="A354" s="77">
        <v>44568.0</v>
      </c>
      <c r="B354" s="58" t="s">
        <v>70</v>
      </c>
      <c r="C354" s="78" t="s">
        <v>68</v>
      </c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</row>
    <row r="355" ht="15.75" customHeight="1">
      <c r="A355" s="77">
        <v>44568.0</v>
      </c>
      <c r="B355" s="58" t="s">
        <v>74</v>
      </c>
      <c r="C355" s="78" t="s">
        <v>68</v>
      </c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</row>
    <row r="356" ht="15.75" customHeight="1">
      <c r="A356" s="77">
        <v>44568.0</v>
      </c>
      <c r="B356" s="58" t="s">
        <v>71</v>
      </c>
      <c r="C356" s="78" t="s">
        <v>68</v>
      </c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</row>
    <row r="357" ht="15.75" customHeight="1">
      <c r="A357" s="77">
        <v>44568.0</v>
      </c>
      <c r="B357" s="58" t="s">
        <v>73</v>
      </c>
      <c r="C357" s="78" t="s">
        <v>68</v>
      </c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</row>
    <row r="358" ht="15.75" customHeight="1">
      <c r="A358" s="77">
        <v>44568.0</v>
      </c>
      <c r="B358" s="58" t="s">
        <v>77</v>
      </c>
      <c r="C358" s="78" t="s">
        <v>75</v>
      </c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</row>
    <row r="359" ht="15.75" customHeight="1">
      <c r="A359" s="77">
        <v>44568.0</v>
      </c>
      <c r="B359" s="58" t="s">
        <v>79</v>
      </c>
      <c r="C359" s="78" t="s">
        <v>75</v>
      </c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</row>
    <row r="360" ht="15.75" customHeight="1">
      <c r="A360" s="77">
        <v>44568.0</v>
      </c>
      <c r="B360" s="58" t="s">
        <v>81</v>
      </c>
      <c r="C360" s="78" t="s">
        <v>75</v>
      </c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</row>
    <row r="361" ht="15.75" customHeight="1">
      <c r="A361" s="77">
        <v>44568.0</v>
      </c>
      <c r="B361" s="58" t="s">
        <v>83</v>
      </c>
      <c r="C361" s="78" t="s">
        <v>75</v>
      </c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</row>
    <row r="362" ht="15.75" customHeight="1">
      <c r="A362" s="77">
        <v>44568.0</v>
      </c>
      <c r="B362" s="58" t="s">
        <v>85</v>
      </c>
      <c r="C362" s="78" t="s">
        <v>75</v>
      </c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</row>
    <row r="363" ht="15.75" customHeight="1">
      <c r="A363" s="77">
        <v>44568.0</v>
      </c>
      <c r="B363" s="58" t="s">
        <v>86</v>
      </c>
      <c r="C363" s="78" t="s">
        <v>75</v>
      </c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</row>
    <row r="364" ht="15.75" customHeight="1">
      <c r="A364" s="77">
        <v>44568.0</v>
      </c>
      <c r="B364" s="58" t="s">
        <v>88</v>
      </c>
      <c r="C364" s="78" t="s">
        <v>75</v>
      </c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</row>
    <row r="365" ht="15.75" customHeight="1">
      <c r="A365" s="77">
        <v>44568.0</v>
      </c>
      <c r="B365" s="58" t="s">
        <v>90</v>
      </c>
      <c r="C365" s="78" t="s">
        <v>75</v>
      </c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</row>
    <row r="366" ht="15.75" customHeight="1">
      <c r="A366" s="77">
        <v>44568.0</v>
      </c>
      <c r="B366" s="58" t="s">
        <v>92</v>
      </c>
      <c r="C366" s="78" t="s">
        <v>75</v>
      </c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</row>
    <row r="367" ht="15.75" customHeight="1">
      <c r="A367" s="77">
        <v>44568.0</v>
      </c>
      <c r="B367" s="58" t="s">
        <v>94</v>
      </c>
      <c r="C367" s="78" t="s">
        <v>75</v>
      </c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</row>
    <row r="368" ht="15.75" customHeight="1">
      <c r="A368" s="77">
        <v>44568.0</v>
      </c>
      <c r="B368" s="58" t="s">
        <v>96</v>
      </c>
      <c r="C368" s="78" t="s">
        <v>75</v>
      </c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</row>
    <row r="369" ht="15.75" customHeight="1">
      <c r="A369" s="77">
        <v>44568.0</v>
      </c>
      <c r="B369" s="58" t="s">
        <v>97</v>
      </c>
      <c r="C369" s="78" t="s">
        <v>75</v>
      </c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</row>
    <row r="370" ht="15.75" customHeight="1">
      <c r="A370" s="77">
        <v>44568.0</v>
      </c>
      <c r="B370" s="58" t="s">
        <v>98</v>
      </c>
      <c r="C370" s="78" t="s">
        <v>75</v>
      </c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</row>
    <row r="371" ht="15.75" customHeight="1">
      <c r="A371" s="77">
        <v>44568.0</v>
      </c>
      <c r="B371" s="58" t="s">
        <v>99</v>
      </c>
      <c r="C371" s="78" t="s">
        <v>75</v>
      </c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</row>
    <row r="372" ht="15.75" customHeight="1">
      <c r="A372" s="77">
        <v>44568.0</v>
      </c>
      <c r="B372" s="58" t="s">
        <v>100</v>
      </c>
      <c r="C372" s="78" t="s">
        <v>75</v>
      </c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</row>
    <row r="373" ht="15.75" customHeight="1">
      <c r="A373" s="77">
        <v>44568.0</v>
      </c>
      <c r="B373" s="58" t="s">
        <v>101</v>
      </c>
      <c r="C373" s="78" t="s">
        <v>75</v>
      </c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</row>
    <row r="374" ht="15.75" customHeight="1">
      <c r="A374" s="77">
        <v>44568.0</v>
      </c>
      <c r="B374" s="58" t="s">
        <v>102</v>
      </c>
      <c r="C374" s="78" t="s">
        <v>103</v>
      </c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</row>
    <row r="375" ht="15.75" customHeight="1">
      <c r="A375" s="77">
        <v>44568.0</v>
      </c>
      <c r="B375" s="58" t="s">
        <v>105</v>
      </c>
      <c r="C375" s="78" t="s">
        <v>103</v>
      </c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</row>
    <row r="376" ht="15.75" customHeight="1">
      <c r="A376" s="77">
        <v>44568.0</v>
      </c>
      <c r="B376" s="58" t="s">
        <v>107</v>
      </c>
      <c r="C376" s="78" t="s">
        <v>103</v>
      </c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</row>
    <row r="377" ht="15.75" customHeight="1">
      <c r="A377" s="77">
        <v>44568.0</v>
      </c>
      <c r="B377" s="58" t="s">
        <v>109</v>
      </c>
      <c r="C377" s="78" t="s">
        <v>103</v>
      </c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</row>
    <row r="378" ht="15.75" customHeight="1">
      <c r="A378" s="77">
        <v>44568.0</v>
      </c>
      <c r="B378" s="58" t="s">
        <v>111</v>
      </c>
      <c r="C378" s="78" t="s">
        <v>103</v>
      </c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</row>
    <row r="379" ht="15.75" customHeight="1">
      <c r="A379" s="77">
        <v>44568.0</v>
      </c>
      <c r="B379" s="58" t="s">
        <v>112</v>
      </c>
      <c r="C379" s="78" t="s">
        <v>103</v>
      </c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</row>
    <row r="380" ht="15.75" customHeight="1">
      <c r="A380" s="77">
        <v>44571.0</v>
      </c>
      <c r="B380" s="58" t="s">
        <v>67</v>
      </c>
      <c r="C380" s="78" t="s">
        <v>68</v>
      </c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</row>
    <row r="381" ht="15.75" customHeight="1">
      <c r="A381" s="77">
        <v>44571.0</v>
      </c>
      <c r="B381" s="58" t="s">
        <v>69</v>
      </c>
      <c r="C381" s="78" t="s">
        <v>68</v>
      </c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</row>
    <row r="382" ht="15.75" customHeight="1">
      <c r="A382" s="77">
        <v>44571.0</v>
      </c>
      <c r="B382" s="58" t="s">
        <v>70</v>
      </c>
      <c r="C382" s="78" t="s">
        <v>68</v>
      </c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</row>
    <row r="383" ht="15.75" customHeight="1">
      <c r="A383" s="77">
        <v>44571.0</v>
      </c>
      <c r="B383" s="58" t="s">
        <v>74</v>
      </c>
      <c r="C383" s="78" t="s">
        <v>68</v>
      </c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</row>
    <row r="384" ht="15.75" customHeight="1">
      <c r="A384" s="77">
        <v>44571.0</v>
      </c>
      <c r="B384" s="58" t="s">
        <v>71</v>
      </c>
      <c r="C384" s="78" t="s">
        <v>68</v>
      </c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</row>
    <row r="385" ht="15.75" customHeight="1">
      <c r="A385" s="77">
        <v>44571.0</v>
      </c>
      <c r="B385" s="58" t="s">
        <v>73</v>
      </c>
      <c r="C385" s="78" t="s">
        <v>68</v>
      </c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</row>
    <row r="386" ht="15.75" customHeight="1">
      <c r="A386" s="77">
        <v>44571.0</v>
      </c>
      <c r="B386" s="58" t="s">
        <v>77</v>
      </c>
      <c r="C386" s="78" t="s">
        <v>75</v>
      </c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</row>
    <row r="387" ht="15.75" customHeight="1">
      <c r="A387" s="77">
        <v>44571.0</v>
      </c>
      <c r="B387" s="58" t="s">
        <v>79</v>
      </c>
      <c r="C387" s="78" t="s">
        <v>75</v>
      </c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</row>
    <row r="388" ht="15.75" customHeight="1">
      <c r="A388" s="77">
        <v>44571.0</v>
      </c>
      <c r="B388" s="58" t="s">
        <v>81</v>
      </c>
      <c r="C388" s="78" t="s">
        <v>75</v>
      </c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</row>
    <row r="389" ht="15.75" customHeight="1">
      <c r="A389" s="77">
        <v>44571.0</v>
      </c>
      <c r="B389" s="58" t="s">
        <v>83</v>
      </c>
      <c r="C389" s="78" t="s">
        <v>75</v>
      </c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</row>
    <row r="390" ht="15.75" customHeight="1">
      <c r="A390" s="77">
        <v>44571.0</v>
      </c>
      <c r="B390" s="58" t="s">
        <v>85</v>
      </c>
      <c r="C390" s="78" t="s">
        <v>75</v>
      </c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</row>
    <row r="391" ht="15.75" customHeight="1">
      <c r="A391" s="77">
        <v>44571.0</v>
      </c>
      <c r="B391" s="58" t="s">
        <v>86</v>
      </c>
      <c r="C391" s="78" t="s">
        <v>75</v>
      </c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</row>
    <row r="392" ht="15.75" customHeight="1">
      <c r="A392" s="77">
        <v>44571.0</v>
      </c>
      <c r="B392" s="58" t="s">
        <v>88</v>
      </c>
      <c r="C392" s="78" t="s">
        <v>75</v>
      </c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</row>
    <row r="393" ht="15.75" customHeight="1">
      <c r="A393" s="77">
        <v>44571.0</v>
      </c>
      <c r="B393" s="58" t="s">
        <v>90</v>
      </c>
      <c r="C393" s="78" t="s">
        <v>75</v>
      </c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</row>
    <row r="394" ht="15.75" customHeight="1">
      <c r="A394" s="77">
        <v>44571.0</v>
      </c>
      <c r="B394" s="58" t="s">
        <v>92</v>
      </c>
      <c r="C394" s="78" t="s">
        <v>75</v>
      </c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</row>
    <row r="395" ht="15.75" customHeight="1">
      <c r="A395" s="77">
        <v>44571.0</v>
      </c>
      <c r="B395" s="58" t="s">
        <v>94</v>
      </c>
      <c r="C395" s="78" t="s">
        <v>75</v>
      </c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</row>
    <row r="396" ht="15.75" customHeight="1">
      <c r="A396" s="77">
        <v>44571.0</v>
      </c>
      <c r="B396" s="58" t="s">
        <v>96</v>
      </c>
      <c r="C396" s="78" t="s">
        <v>75</v>
      </c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</row>
    <row r="397" ht="15.75" customHeight="1">
      <c r="A397" s="77">
        <v>44571.0</v>
      </c>
      <c r="B397" s="58" t="s">
        <v>97</v>
      </c>
      <c r="C397" s="78" t="s">
        <v>75</v>
      </c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</row>
    <row r="398" ht="15.75" customHeight="1">
      <c r="A398" s="77">
        <v>44571.0</v>
      </c>
      <c r="B398" s="58" t="s">
        <v>98</v>
      </c>
      <c r="C398" s="78" t="s">
        <v>75</v>
      </c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ht="15.75" customHeight="1">
      <c r="A399" s="77">
        <v>44571.0</v>
      </c>
      <c r="B399" s="58" t="s">
        <v>99</v>
      </c>
      <c r="C399" s="78" t="s">
        <v>75</v>
      </c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ht="15.75" customHeight="1">
      <c r="A400" s="77">
        <v>44571.0</v>
      </c>
      <c r="B400" s="58" t="s">
        <v>100</v>
      </c>
      <c r="C400" s="78" t="s">
        <v>75</v>
      </c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ht="15.75" customHeight="1">
      <c r="A401" s="77">
        <v>44571.0</v>
      </c>
      <c r="B401" s="58" t="s">
        <v>101</v>
      </c>
      <c r="C401" s="78" t="s">
        <v>75</v>
      </c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ht="15.75" customHeight="1">
      <c r="A402" s="77">
        <v>44571.0</v>
      </c>
      <c r="B402" s="58" t="s">
        <v>102</v>
      </c>
      <c r="C402" s="78" t="s">
        <v>103</v>
      </c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</row>
    <row r="403" ht="15.75" customHeight="1">
      <c r="A403" s="77">
        <v>44571.0</v>
      </c>
      <c r="B403" s="58" t="s">
        <v>105</v>
      </c>
      <c r="C403" s="78" t="s">
        <v>103</v>
      </c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</row>
    <row r="404" ht="15.75" customHeight="1">
      <c r="A404" s="77">
        <v>44571.0</v>
      </c>
      <c r="B404" s="58" t="s">
        <v>107</v>
      </c>
      <c r="C404" s="78" t="s">
        <v>103</v>
      </c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</row>
    <row r="405" ht="15.75" customHeight="1">
      <c r="A405" s="77">
        <v>44571.0</v>
      </c>
      <c r="B405" s="58" t="s">
        <v>109</v>
      </c>
      <c r="C405" s="78" t="s">
        <v>103</v>
      </c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ht="15.75" customHeight="1">
      <c r="A406" s="77">
        <v>44571.0</v>
      </c>
      <c r="B406" s="58" t="s">
        <v>111</v>
      </c>
      <c r="C406" s="78" t="s">
        <v>103</v>
      </c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ht="15.75" customHeight="1">
      <c r="A407" s="77">
        <v>44571.0</v>
      </c>
      <c r="B407" s="58" t="s">
        <v>112</v>
      </c>
      <c r="C407" s="78" t="s">
        <v>103</v>
      </c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ht="15.75" customHeight="1">
      <c r="A408" s="77">
        <v>44574.0</v>
      </c>
      <c r="B408" s="58" t="s">
        <v>67</v>
      </c>
      <c r="C408" s="78" t="s">
        <v>68</v>
      </c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</row>
    <row r="409" ht="15.75" customHeight="1">
      <c r="A409" s="77">
        <v>44574.0</v>
      </c>
      <c r="B409" s="58" t="s">
        <v>69</v>
      </c>
      <c r="C409" s="78" t="s">
        <v>68</v>
      </c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</row>
    <row r="410" ht="15.75" customHeight="1">
      <c r="A410" s="77">
        <v>44574.0</v>
      </c>
      <c r="B410" s="58" t="s">
        <v>70</v>
      </c>
      <c r="C410" s="78" t="s">
        <v>68</v>
      </c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</row>
    <row r="411" ht="15.75" customHeight="1">
      <c r="A411" s="77">
        <v>44574.0</v>
      </c>
      <c r="B411" s="58" t="s">
        <v>74</v>
      </c>
      <c r="C411" s="78" t="s">
        <v>68</v>
      </c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</row>
    <row r="412" ht="15.75" customHeight="1">
      <c r="A412" s="77">
        <v>44574.0</v>
      </c>
      <c r="B412" s="58" t="s">
        <v>71</v>
      </c>
      <c r="C412" s="78" t="s">
        <v>68</v>
      </c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</row>
    <row r="413" ht="15.75" customHeight="1">
      <c r="A413" s="77">
        <v>44574.0</v>
      </c>
      <c r="B413" s="58" t="s">
        <v>73</v>
      </c>
      <c r="C413" s="78" t="s">
        <v>68</v>
      </c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</row>
    <row r="414" ht="15.75" customHeight="1">
      <c r="A414" s="77">
        <v>44574.0</v>
      </c>
      <c r="B414" s="58" t="s">
        <v>77</v>
      </c>
      <c r="C414" s="78" t="s">
        <v>75</v>
      </c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</row>
    <row r="415" ht="15.75" customHeight="1">
      <c r="A415" s="77">
        <v>44574.0</v>
      </c>
      <c r="B415" s="58" t="s">
        <v>79</v>
      </c>
      <c r="C415" s="78" t="s">
        <v>75</v>
      </c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</row>
    <row r="416" ht="15.75" customHeight="1">
      <c r="A416" s="77">
        <v>44574.0</v>
      </c>
      <c r="B416" s="58" t="s">
        <v>81</v>
      </c>
      <c r="C416" s="78" t="s">
        <v>75</v>
      </c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</row>
    <row r="417" ht="15.75" customHeight="1">
      <c r="A417" s="77">
        <v>44574.0</v>
      </c>
      <c r="B417" s="58" t="s">
        <v>83</v>
      </c>
      <c r="C417" s="78" t="s">
        <v>75</v>
      </c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</row>
    <row r="418" ht="15.75" customHeight="1">
      <c r="A418" s="77">
        <v>44574.0</v>
      </c>
      <c r="B418" s="58" t="s">
        <v>85</v>
      </c>
      <c r="C418" s="78" t="s">
        <v>75</v>
      </c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</row>
    <row r="419" ht="15.75" customHeight="1">
      <c r="A419" s="77">
        <v>44574.0</v>
      </c>
      <c r="B419" s="58" t="s">
        <v>86</v>
      </c>
      <c r="C419" s="78" t="s">
        <v>75</v>
      </c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</row>
    <row r="420" ht="15.75" customHeight="1">
      <c r="A420" s="77">
        <v>44574.0</v>
      </c>
      <c r="B420" s="58" t="s">
        <v>88</v>
      </c>
      <c r="C420" s="78" t="s">
        <v>75</v>
      </c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</row>
    <row r="421" ht="15.75" customHeight="1">
      <c r="A421" s="77">
        <v>44574.0</v>
      </c>
      <c r="B421" s="58" t="s">
        <v>90</v>
      </c>
      <c r="C421" s="78" t="s">
        <v>75</v>
      </c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</row>
    <row r="422" ht="15.75" customHeight="1">
      <c r="A422" s="77">
        <v>44574.0</v>
      </c>
      <c r="B422" s="58" t="s">
        <v>92</v>
      </c>
      <c r="C422" s="78" t="s">
        <v>75</v>
      </c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</row>
    <row r="423" ht="15.75" customHeight="1">
      <c r="A423" s="77">
        <v>44574.0</v>
      </c>
      <c r="B423" s="58" t="s">
        <v>94</v>
      </c>
      <c r="C423" s="78" t="s">
        <v>75</v>
      </c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</row>
    <row r="424" ht="15.75" customHeight="1">
      <c r="A424" s="77">
        <v>44574.0</v>
      </c>
      <c r="B424" s="58" t="s">
        <v>96</v>
      </c>
      <c r="C424" s="78" t="s">
        <v>75</v>
      </c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</row>
    <row r="425" ht="15.75" customHeight="1">
      <c r="A425" s="77">
        <v>44574.0</v>
      </c>
      <c r="B425" s="58" t="s">
        <v>97</v>
      </c>
      <c r="C425" s="78" t="s">
        <v>75</v>
      </c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</row>
    <row r="426" ht="15.75" customHeight="1">
      <c r="A426" s="77">
        <v>44574.0</v>
      </c>
      <c r="B426" s="58" t="s">
        <v>98</v>
      </c>
      <c r="C426" s="78" t="s">
        <v>75</v>
      </c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</row>
    <row r="427" ht="15.75" customHeight="1">
      <c r="A427" s="77">
        <v>44574.0</v>
      </c>
      <c r="B427" s="58" t="s">
        <v>99</v>
      </c>
      <c r="C427" s="78" t="s">
        <v>75</v>
      </c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</row>
    <row r="428" ht="15.75" customHeight="1">
      <c r="A428" s="77">
        <v>44574.0</v>
      </c>
      <c r="B428" s="58" t="s">
        <v>100</v>
      </c>
      <c r="C428" s="78" t="s">
        <v>75</v>
      </c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</row>
    <row r="429" ht="15.75" customHeight="1">
      <c r="A429" s="77">
        <v>44574.0</v>
      </c>
      <c r="B429" s="58" t="s">
        <v>101</v>
      </c>
      <c r="C429" s="78" t="s">
        <v>75</v>
      </c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</row>
    <row r="430" ht="15.75" customHeight="1">
      <c r="A430" s="77">
        <v>44574.0</v>
      </c>
      <c r="B430" s="58" t="s">
        <v>102</v>
      </c>
      <c r="C430" s="78" t="s">
        <v>103</v>
      </c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</row>
    <row r="431" ht="15.75" customHeight="1">
      <c r="A431" s="77">
        <v>44574.0</v>
      </c>
      <c r="B431" s="58" t="s">
        <v>105</v>
      </c>
      <c r="C431" s="78" t="s">
        <v>103</v>
      </c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</row>
    <row r="432" ht="15.75" customHeight="1">
      <c r="A432" s="77">
        <v>44574.0</v>
      </c>
      <c r="B432" s="58" t="s">
        <v>107</v>
      </c>
      <c r="C432" s="78" t="s">
        <v>103</v>
      </c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</row>
    <row r="433" ht="15.75" customHeight="1">
      <c r="A433" s="77">
        <v>44574.0</v>
      </c>
      <c r="B433" s="58" t="s">
        <v>109</v>
      </c>
      <c r="C433" s="78" t="s">
        <v>103</v>
      </c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</row>
    <row r="434" ht="15.75" customHeight="1">
      <c r="A434" s="77">
        <v>44574.0</v>
      </c>
      <c r="B434" s="58" t="s">
        <v>111</v>
      </c>
      <c r="C434" s="78" t="s">
        <v>103</v>
      </c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</row>
    <row r="435" ht="15.75" customHeight="1">
      <c r="A435" s="77">
        <v>44574.0</v>
      </c>
      <c r="B435" s="58" t="s">
        <v>112</v>
      </c>
      <c r="C435" s="78" t="s">
        <v>103</v>
      </c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</row>
    <row r="436" ht="15.75" customHeight="1">
      <c r="A436" s="77">
        <v>44576.0</v>
      </c>
      <c r="B436" s="7" t="s">
        <v>67</v>
      </c>
      <c r="C436" s="28" t="s">
        <v>68</v>
      </c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</row>
    <row r="437" ht="15.75" customHeight="1">
      <c r="A437" s="77">
        <v>44576.0</v>
      </c>
      <c r="B437" s="7" t="s">
        <v>69</v>
      </c>
      <c r="C437" s="28" t="s">
        <v>68</v>
      </c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</row>
    <row r="438" ht="15.75" customHeight="1">
      <c r="A438" s="77">
        <v>44576.0</v>
      </c>
      <c r="B438" s="7" t="s">
        <v>70</v>
      </c>
      <c r="C438" s="28" t="s">
        <v>68</v>
      </c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</row>
    <row r="439" ht="15.75" customHeight="1">
      <c r="A439" s="77">
        <v>44576.0</v>
      </c>
      <c r="B439" s="7" t="s">
        <v>74</v>
      </c>
      <c r="C439" s="28" t="s">
        <v>68</v>
      </c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</row>
    <row r="440" ht="15.75" customHeight="1">
      <c r="A440" s="77">
        <v>44576.0</v>
      </c>
      <c r="B440" s="7" t="s">
        <v>71</v>
      </c>
      <c r="C440" s="28" t="s">
        <v>68</v>
      </c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</row>
    <row r="441" ht="15.75" customHeight="1">
      <c r="A441" s="77">
        <v>44576.0</v>
      </c>
      <c r="B441" s="7" t="s">
        <v>73</v>
      </c>
      <c r="C441" s="28" t="s">
        <v>68</v>
      </c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</row>
    <row r="442" ht="15.75" customHeight="1">
      <c r="A442" s="77">
        <v>44576.0</v>
      </c>
      <c r="B442" s="7" t="s">
        <v>77</v>
      </c>
      <c r="C442" s="28" t="s">
        <v>75</v>
      </c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</row>
    <row r="443" ht="15.75" customHeight="1">
      <c r="A443" s="77">
        <v>44576.0</v>
      </c>
      <c r="B443" s="7" t="s">
        <v>79</v>
      </c>
      <c r="C443" s="28" t="s">
        <v>75</v>
      </c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</row>
    <row r="444" ht="15.75" customHeight="1">
      <c r="A444" s="77">
        <v>44576.0</v>
      </c>
      <c r="B444" s="7" t="s">
        <v>81</v>
      </c>
      <c r="C444" s="28" t="s">
        <v>75</v>
      </c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</row>
    <row r="445" ht="15.75" customHeight="1">
      <c r="A445" s="77">
        <v>44576.0</v>
      </c>
      <c r="B445" s="7" t="s">
        <v>83</v>
      </c>
      <c r="C445" s="28" t="s">
        <v>75</v>
      </c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</row>
    <row r="446" ht="15.75" customHeight="1">
      <c r="A446" s="77">
        <v>44576.0</v>
      </c>
      <c r="B446" s="7" t="s">
        <v>85</v>
      </c>
      <c r="C446" s="28" t="s">
        <v>75</v>
      </c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</row>
    <row r="447" ht="15.75" customHeight="1">
      <c r="A447" s="77">
        <v>44576.0</v>
      </c>
      <c r="B447" s="7" t="s">
        <v>86</v>
      </c>
      <c r="C447" s="28" t="s">
        <v>75</v>
      </c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</row>
    <row r="448" ht="15.75" customHeight="1">
      <c r="A448" s="77">
        <v>44576.0</v>
      </c>
      <c r="B448" s="7" t="s">
        <v>88</v>
      </c>
      <c r="C448" s="28" t="s">
        <v>75</v>
      </c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</row>
    <row r="449" ht="15.75" customHeight="1">
      <c r="A449" s="77">
        <v>44576.0</v>
      </c>
      <c r="B449" s="7" t="s">
        <v>90</v>
      </c>
      <c r="C449" s="28" t="s">
        <v>75</v>
      </c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</row>
    <row r="450" ht="15.75" customHeight="1">
      <c r="A450" s="77">
        <v>44576.0</v>
      </c>
      <c r="B450" s="7" t="s">
        <v>92</v>
      </c>
      <c r="C450" s="28" t="s">
        <v>75</v>
      </c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</row>
    <row r="451" ht="15.75" customHeight="1">
      <c r="A451" s="77">
        <v>44576.0</v>
      </c>
      <c r="B451" s="7" t="s">
        <v>94</v>
      </c>
      <c r="C451" s="28" t="s">
        <v>75</v>
      </c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</row>
    <row r="452" ht="15.75" customHeight="1">
      <c r="A452" s="77">
        <v>44576.0</v>
      </c>
      <c r="B452" s="7" t="s">
        <v>96</v>
      </c>
      <c r="C452" s="28" t="s">
        <v>75</v>
      </c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</row>
    <row r="453" ht="15.75" customHeight="1">
      <c r="A453" s="77">
        <v>44576.0</v>
      </c>
      <c r="B453" s="7" t="s">
        <v>97</v>
      </c>
      <c r="C453" s="28" t="s">
        <v>75</v>
      </c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</row>
    <row r="454" ht="15.75" customHeight="1">
      <c r="A454" s="77">
        <v>44576.0</v>
      </c>
      <c r="B454" s="7" t="s">
        <v>98</v>
      </c>
      <c r="C454" s="28" t="s">
        <v>75</v>
      </c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</row>
    <row r="455" ht="15.75" customHeight="1">
      <c r="A455" s="77">
        <v>44576.0</v>
      </c>
      <c r="B455" s="7" t="s">
        <v>99</v>
      </c>
      <c r="C455" s="28" t="s">
        <v>75</v>
      </c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</row>
    <row r="456" ht="15.75" customHeight="1">
      <c r="A456" s="77">
        <v>44576.0</v>
      </c>
      <c r="B456" s="7" t="s">
        <v>100</v>
      </c>
      <c r="C456" s="28" t="s">
        <v>75</v>
      </c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</row>
    <row r="457" ht="15.75" customHeight="1">
      <c r="A457" s="77">
        <v>44576.0</v>
      </c>
      <c r="B457" s="7" t="s">
        <v>101</v>
      </c>
      <c r="C457" s="28" t="s">
        <v>75</v>
      </c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</row>
    <row r="458" ht="15.75" customHeight="1">
      <c r="A458" s="77">
        <v>44576.0</v>
      </c>
      <c r="B458" s="7" t="s">
        <v>102</v>
      </c>
      <c r="C458" s="28" t="s">
        <v>103</v>
      </c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</row>
    <row r="459" ht="15.75" customHeight="1">
      <c r="A459" s="77">
        <v>44576.0</v>
      </c>
      <c r="B459" s="7" t="s">
        <v>105</v>
      </c>
      <c r="C459" s="28" t="s">
        <v>103</v>
      </c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</row>
    <row r="460" ht="15.75" customHeight="1">
      <c r="A460" s="77">
        <v>44576.0</v>
      </c>
      <c r="B460" s="7" t="s">
        <v>107</v>
      </c>
      <c r="C460" s="28" t="s">
        <v>103</v>
      </c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</row>
    <row r="461" ht="15.75" customHeight="1">
      <c r="A461" s="77">
        <v>44576.0</v>
      </c>
      <c r="B461" s="7" t="s">
        <v>109</v>
      </c>
      <c r="C461" s="28" t="s">
        <v>103</v>
      </c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</row>
    <row r="462" ht="15.75" customHeight="1">
      <c r="A462" s="77">
        <v>44576.0</v>
      </c>
      <c r="B462" s="7" t="s">
        <v>111</v>
      </c>
      <c r="C462" s="28" t="s">
        <v>103</v>
      </c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</row>
    <row r="463" ht="15.75" customHeight="1">
      <c r="A463" s="77">
        <v>44576.0</v>
      </c>
      <c r="B463" s="7" t="s">
        <v>112</v>
      </c>
      <c r="C463" s="28" t="s">
        <v>103</v>
      </c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</row>
    <row r="464" ht="15.75" customHeight="1">
      <c r="A464" s="77">
        <v>44581.0</v>
      </c>
      <c r="B464" s="7" t="s">
        <v>67</v>
      </c>
      <c r="C464" s="28" t="s">
        <v>68</v>
      </c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</row>
    <row r="465" ht="15.75" customHeight="1">
      <c r="A465" s="77">
        <v>44581.0</v>
      </c>
      <c r="B465" s="7" t="s">
        <v>69</v>
      </c>
      <c r="C465" s="28" t="s">
        <v>68</v>
      </c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</row>
    <row r="466" ht="15.75" customHeight="1">
      <c r="A466" s="77">
        <v>44581.0</v>
      </c>
      <c r="B466" s="7" t="s">
        <v>70</v>
      </c>
      <c r="C466" s="28" t="s">
        <v>68</v>
      </c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</row>
    <row r="467" ht="15.75" customHeight="1">
      <c r="A467" s="77">
        <v>44581.0</v>
      </c>
      <c r="B467" s="7" t="s">
        <v>74</v>
      </c>
      <c r="C467" s="28" t="s">
        <v>68</v>
      </c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</row>
    <row r="468" ht="15.75" customHeight="1">
      <c r="A468" s="77">
        <v>44581.0</v>
      </c>
      <c r="B468" s="7" t="s">
        <v>71</v>
      </c>
      <c r="C468" s="28" t="s">
        <v>68</v>
      </c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</row>
    <row r="469" ht="15.75" customHeight="1">
      <c r="A469" s="77">
        <v>44581.0</v>
      </c>
      <c r="B469" s="7" t="s">
        <v>73</v>
      </c>
      <c r="C469" s="28" t="s">
        <v>68</v>
      </c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</row>
    <row r="470" ht="15.75" customHeight="1">
      <c r="A470" s="77">
        <v>44581.0</v>
      </c>
      <c r="B470" s="7" t="s">
        <v>77</v>
      </c>
      <c r="C470" s="28" t="s">
        <v>75</v>
      </c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</row>
    <row r="471" ht="15.75" customHeight="1">
      <c r="A471" s="77">
        <v>44581.0</v>
      </c>
      <c r="B471" s="7" t="s">
        <v>79</v>
      </c>
      <c r="C471" s="28" t="s">
        <v>75</v>
      </c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</row>
    <row r="472" ht="15.75" customHeight="1">
      <c r="A472" s="77">
        <v>44581.0</v>
      </c>
      <c r="B472" s="7" t="s">
        <v>81</v>
      </c>
      <c r="C472" s="28" t="s">
        <v>75</v>
      </c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</row>
    <row r="473" ht="15.75" customHeight="1">
      <c r="A473" s="77">
        <v>44581.0</v>
      </c>
      <c r="B473" s="7" t="s">
        <v>83</v>
      </c>
      <c r="C473" s="28" t="s">
        <v>75</v>
      </c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</row>
    <row r="474" ht="15.75" customHeight="1">
      <c r="A474" s="77">
        <v>44581.0</v>
      </c>
      <c r="B474" s="7" t="s">
        <v>85</v>
      </c>
      <c r="C474" s="28" t="s">
        <v>75</v>
      </c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</row>
    <row r="475" ht="15.75" customHeight="1">
      <c r="A475" s="77">
        <v>44581.0</v>
      </c>
      <c r="B475" s="7" t="s">
        <v>86</v>
      </c>
      <c r="C475" s="28" t="s">
        <v>75</v>
      </c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</row>
    <row r="476" ht="15.75" customHeight="1">
      <c r="A476" s="77">
        <v>44581.0</v>
      </c>
      <c r="B476" s="7" t="s">
        <v>88</v>
      </c>
      <c r="C476" s="28" t="s">
        <v>75</v>
      </c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</row>
    <row r="477" ht="15.75" customHeight="1">
      <c r="A477" s="77">
        <v>44581.0</v>
      </c>
      <c r="B477" s="7" t="s">
        <v>90</v>
      </c>
      <c r="C477" s="28" t="s">
        <v>75</v>
      </c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</row>
    <row r="478" ht="15.75" customHeight="1">
      <c r="A478" s="77">
        <v>44581.0</v>
      </c>
      <c r="B478" s="7" t="s">
        <v>92</v>
      </c>
      <c r="C478" s="28" t="s">
        <v>75</v>
      </c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</row>
    <row r="479" ht="15.75" customHeight="1">
      <c r="A479" s="77">
        <v>44581.0</v>
      </c>
      <c r="B479" s="7" t="s">
        <v>94</v>
      </c>
      <c r="C479" s="28" t="s">
        <v>75</v>
      </c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</row>
    <row r="480" ht="15.75" customHeight="1">
      <c r="A480" s="77">
        <v>44581.0</v>
      </c>
      <c r="B480" s="7" t="s">
        <v>96</v>
      </c>
      <c r="C480" s="28" t="s">
        <v>75</v>
      </c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</row>
    <row r="481" ht="15.75" customHeight="1">
      <c r="A481" s="77">
        <v>44581.0</v>
      </c>
      <c r="B481" s="7" t="s">
        <v>97</v>
      </c>
      <c r="C481" s="28" t="s">
        <v>75</v>
      </c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</row>
    <row r="482" ht="15.75" customHeight="1">
      <c r="A482" s="77">
        <v>44581.0</v>
      </c>
      <c r="B482" s="7" t="s">
        <v>98</v>
      </c>
      <c r="C482" s="28" t="s">
        <v>75</v>
      </c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</row>
    <row r="483" ht="15.75" customHeight="1">
      <c r="A483" s="77">
        <v>44581.0</v>
      </c>
      <c r="B483" s="7" t="s">
        <v>99</v>
      </c>
      <c r="C483" s="28" t="s">
        <v>75</v>
      </c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</row>
    <row r="484" ht="15.75" customHeight="1">
      <c r="A484" s="77">
        <v>44581.0</v>
      </c>
      <c r="B484" s="7" t="s">
        <v>100</v>
      </c>
      <c r="C484" s="28" t="s">
        <v>75</v>
      </c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</row>
    <row r="485" ht="15.75" customHeight="1">
      <c r="A485" s="77">
        <v>44581.0</v>
      </c>
      <c r="B485" s="7" t="s">
        <v>101</v>
      </c>
      <c r="C485" s="28" t="s">
        <v>75</v>
      </c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</row>
    <row r="486" ht="15.75" customHeight="1">
      <c r="A486" s="77">
        <v>44581.0</v>
      </c>
      <c r="B486" s="7" t="s">
        <v>102</v>
      </c>
      <c r="C486" s="28" t="s">
        <v>103</v>
      </c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</row>
    <row r="487" ht="15.75" customHeight="1">
      <c r="A487" s="77">
        <v>44581.0</v>
      </c>
      <c r="B487" s="7" t="s">
        <v>105</v>
      </c>
      <c r="C487" s="28" t="s">
        <v>103</v>
      </c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</row>
    <row r="488" ht="15.75" customHeight="1">
      <c r="A488" s="77">
        <v>44581.0</v>
      </c>
      <c r="B488" s="7" t="s">
        <v>107</v>
      </c>
      <c r="C488" s="28" t="s">
        <v>103</v>
      </c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</row>
    <row r="489" ht="15.75" customHeight="1">
      <c r="A489" s="77">
        <v>44581.0</v>
      </c>
      <c r="B489" s="7" t="s">
        <v>109</v>
      </c>
      <c r="C489" s="28" t="s">
        <v>103</v>
      </c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</row>
    <row r="490" ht="15.75" customHeight="1">
      <c r="A490" s="77">
        <v>44581.0</v>
      </c>
      <c r="B490" s="7" t="s">
        <v>111</v>
      </c>
      <c r="C490" s="28" t="s">
        <v>103</v>
      </c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</row>
    <row r="491" ht="15.75" customHeight="1">
      <c r="A491" s="77">
        <v>44581.0</v>
      </c>
      <c r="B491" s="7" t="s">
        <v>112</v>
      </c>
      <c r="C491" s="28" t="s">
        <v>103</v>
      </c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</row>
    <row r="492" ht="15.75" customHeight="1">
      <c r="A492" s="77">
        <v>44582.0</v>
      </c>
      <c r="B492" s="7" t="s">
        <v>67</v>
      </c>
      <c r="C492" s="28" t="s">
        <v>68</v>
      </c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</row>
    <row r="493" ht="15.75" customHeight="1">
      <c r="A493" s="77">
        <v>44582.0</v>
      </c>
      <c r="B493" s="7" t="s">
        <v>69</v>
      </c>
      <c r="C493" s="28" t="s">
        <v>68</v>
      </c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</row>
    <row r="494" ht="15.75" customHeight="1">
      <c r="A494" s="77">
        <v>44582.0</v>
      </c>
      <c r="B494" s="7" t="s">
        <v>70</v>
      </c>
      <c r="C494" s="28" t="s">
        <v>68</v>
      </c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</row>
    <row r="495" ht="15.75" customHeight="1">
      <c r="A495" s="77">
        <v>44582.0</v>
      </c>
      <c r="B495" s="7" t="s">
        <v>74</v>
      </c>
      <c r="C495" s="28" t="s">
        <v>68</v>
      </c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</row>
    <row r="496" ht="15.75" customHeight="1">
      <c r="A496" s="77">
        <v>44582.0</v>
      </c>
      <c r="B496" s="7" t="s">
        <v>71</v>
      </c>
      <c r="C496" s="28" t="s">
        <v>68</v>
      </c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</row>
    <row r="497" ht="15.75" customHeight="1">
      <c r="A497" s="77">
        <v>44582.0</v>
      </c>
      <c r="B497" s="7" t="s">
        <v>73</v>
      </c>
      <c r="C497" s="28" t="s">
        <v>68</v>
      </c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</row>
    <row r="498" ht="15.75" customHeight="1">
      <c r="A498" s="77">
        <v>44582.0</v>
      </c>
      <c r="B498" s="7" t="s">
        <v>77</v>
      </c>
      <c r="C498" s="28" t="s">
        <v>75</v>
      </c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</row>
    <row r="499" ht="15.75" customHeight="1">
      <c r="A499" s="77">
        <v>44582.0</v>
      </c>
      <c r="B499" s="7" t="s">
        <v>79</v>
      </c>
      <c r="C499" s="28" t="s">
        <v>75</v>
      </c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</row>
    <row r="500" ht="15.75" customHeight="1">
      <c r="A500" s="77">
        <v>44582.0</v>
      </c>
      <c r="B500" s="7" t="s">
        <v>81</v>
      </c>
      <c r="C500" s="28" t="s">
        <v>75</v>
      </c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</row>
    <row r="501" ht="15.75" customHeight="1">
      <c r="A501" s="77">
        <v>44582.0</v>
      </c>
      <c r="B501" s="7" t="s">
        <v>83</v>
      </c>
      <c r="C501" s="28" t="s">
        <v>75</v>
      </c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</row>
    <row r="502" ht="15.75" customHeight="1">
      <c r="A502" s="77">
        <v>44582.0</v>
      </c>
      <c r="B502" s="7" t="s">
        <v>85</v>
      </c>
      <c r="C502" s="28" t="s">
        <v>75</v>
      </c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</row>
    <row r="503" ht="15.75" customHeight="1">
      <c r="A503" s="77">
        <v>44582.0</v>
      </c>
      <c r="B503" s="7" t="s">
        <v>86</v>
      </c>
      <c r="C503" s="28" t="s">
        <v>75</v>
      </c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</row>
    <row r="504" ht="15.75" customHeight="1">
      <c r="A504" s="77">
        <v>44582.0</v>
      </c>
      <c r="B504" s="7" t="s">
        <v>88</v>
      </c>
      <c r="C504" s="28" t="s">
        <v>75</v>
      </c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</row>
    <row r="505" ht="15.75" customHeight="1">
      <c r="A505" s="77">
        <v>44582.0</v>
      </c>
      <c r="B505" s="7" t="s">
        <v>90</v>
      </c>
      <c r="C505" s="28" t="s">
        <v>75</v>
      </c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</row>
    <row r="506" ht="15.75" customHeight="1">
      <c r="A506" s="77">
        <v>44582.0</v>
      </c>
      <c r="B506" s="7" t="s">
        <v>92</v>
      </c>
      <c r="C506" s="28" t="s">
        <v>75</v>
      </c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</row>
    <row r="507" ht="15.75" customHeight="1">
      <c r="A507" s="77">
        <v>44582.0</v>
      </c>
      <c r="B507" s="7" t="s">
        <v>94</v>
      </c>
      <c r="C507" s="28" t="s">
        <v>75</v>
      </c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</row>
    <row r="508" ht="15.75" customHeight="1">
      <c r="A508" s="77">
        <v>44582.0</v>
      </c>
      <c r="B508" s="7" t="s">
        <v>96</v>
      </c>
      <c r="C508" s="28" t="s">
        <v>75</v>
      </c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</row>
    <row r="509" ht="15.75" customHeight="1">
      <c r="A509" s="77">
        <v>44582.0</v>
      </c>
      <c r="B509" s="7" t="s">
        <v>97</v>
      </c>
      <c r="C509" s="28" t="s">
        <v>75</v>
      </c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</row>
    <row r="510" ht="15.75" customHeight="1">
      <c r="A510" s="77">
        <v>44582.0</v>
      </c>
      <c r="B510" s="7" t="s">
        <v>98</v>
      </c>
      <c r="C510" s="28" t="s">
        <v>75</v>
      </c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</row>
    <row r="511" ht="15.75" customHeight="1">
      <c r="A511" s="77">
        <v>44582.0</v>
      </c>
      <c r="B511" s="7" t="s">
        <v>99</v>
      </c>
      <c r="C511" s="28" t="s">
        <v>75</v>
      </c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</row>
    <row r="512" ht="15.75" customHeight="1">
      <c r="A512" s="77">
        <v>44582.0</v>
      </c>
      <c r="B512" s="7" t="s">
        <v>100</v>
      </c>
      <c r="C512" s="28" t="s">
        <v>75</v>
      </c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</row>
    <row r="513" ht="15.75" customHeight="1">
      <c r="A513" s="77">
        <v>44582.0</v>
      </c>
      <c r="B513" s="7" t="s">
        <v>101</v>
      </c>
      <c r="C513" s="28" t="s">
        <v>75</v>
      </c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</row>
    <row r="514" ht="15.75" customHeight="1">
      <c r="A514" s="77">
        <v>44582.0</v>
      </c>
      <c r="B514" s="7" t="s">
        <v>102</v>
      </c>
      <c r="C514" s="28" t="s">
        <v>103</v>
      </c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</row>
    <row r="515" ht="15.75" customHeight="1">
      <c r="A515" s="77">
        <v>44582.0</v>
      </c>
      <c r="B515" s="7" t="s">
        <v>105</v>
      </c>
      <c r="C515" s="28" t="s">
        <v>103</v>
      </c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</row>
    <row r="516" ht="15.75" customHeight="1">
      <c r="A516" s="77">
        <v>44582.0</v>
      </c>
      <c r="B516" s="7" t="s">
        <v>107</v>
      </c>
      <c r="C516" s="28" t="s">
        <v>103</v>
      </c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</row>
    <row r="517" ht="15.75" customHeight="1">
      <c r="A517" s="77">
        <v>44582.0</v>
      </c>
      <c r="B517" s="7" t="s">
        <v>109</v>
      </c>
      <c r="C517" s="28" t="s">
        <v>103</v>
      </c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</row>
    <row r="518" ht="15.75" customHeight="1">
      <c r="A518" s="77">
        <v>44582.0</v>
      </c>
      <c r="B518" s="7" t="s">
        <v>111</v>
      </c>
      <c r="C518" s="28" t="s">
        <v>103</v>
      </c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</row>
    <row r="519" ht="15.75" customHeight="1">
      <c r="A519" s="77">
        <v>44582.0</v>
      </c>
      <c r="B519" s="7" t="s">
        <v>112</v>
      </c>
      <c r="C519" s="28" t="s">
        <v>103</v>
      </c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</row>
    <row r="520" ht="15.75" customHeight="1">
      <c r="A520" s="77">
        <v>44584.0</v>
      </c>
      <c r="B520" s="7" t="s">
        <v>67</v>
      </c>
      <c r="C520" s="28" t="s">
        <v>68</v>
      </c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</row>
    <row r="521" ht="15.75" customHeight="1">
      <c r="A521" s="77">
        <v>44584.0</v>
      </c>
      <c r="B521" s="7" t="s">
        <v>69</v>
      </c>
      <c r="C521" s="28" t="s">
        <v>68</v>
      </c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</row>
    <row r="522" ht="15.75" customHeight="1">
      <c r="A522" s="77">
        <v>44584.0</v>
      </c>
      <c r="B522" s="7" t="s">
        <v>70</v>
      </c>
      <c r="C522" s="28" t="s">
        <v>68</v>
      </c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</row>
    <row r="523" ht="15.75" customHeight="1">
      <c r="A523" s="77">
        <v>44584.0</v>
      </c>
      <c r="B523" s="7" t="s">
        <v>74</v>
      </c>
      <c r="C523" s="28" t="s">
        <v>68</v>
      </c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</row>
    <row r="524" ht="15.75" customHeight="1">
      <c r="A524" s="77">
        <v>44584.0</v>
      </c>
      <c r="B524" s="7" t="s">
        <v>71</v>
      </c>
      <c r="C524" s="28" t="s">
        <v>68</v>
      </c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</row>
    <row r="525" ht="15.75" customHeight="1">
      <c r="A525" s="77">
        <v>44584.0</v>
      </c>
      <c r="B525" s="7" t="s">
        <v>73</v>
      </c>
      <c r="C525" s="28" t="s">
        <v>68</v>
      </c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</row>
    <row r="526" ht="15.75" customHeight="1">
      <c r="A526" s="77">
        <v>44584.0</v>
      </c>
      <c r="B526" s="7" t="s">
        <v>77</v>
      </c>
      <c r="C526" s="28" t="s">
        <v>75</v>
      </c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</row>
    <row r="527" ht="15.75" customHeight="1">
      <c r="A527" s="77">
        <v>44584.0</v>
      </c>
      <c r="B527" s="7" t="s">
        <v>79</v>
      </c>
      <c r="C527" s="28" t="s">
        <v>75</v>
      </c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</row>
    <row r="528" ht="15.75" customHeight="1">
      <c r="A528" s="77">
        <v>44584.0</v>
      </c>
      <c r="B528" s="7" t="s">
        <v>81</v>
      </c>
      <c r="C528" s="28" t="s">
        <v>75</v>
      </c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</row>
    <row r="529" ht="15.75" customHeight="1">
      <c r="A529" s="77">
        <v>44584.0</v>
      </c>
      <c r="B529" s="7" t="s">
        <v>83</v>
      </c>
      <c r="C529" s="28" t="s">
        <v>75</v>
      </c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</row>
    <row r="530" ht="15.75" customHeight="1">
      <c r="A530" s="77">
        <v>44584.0</v>
      </c>
      <c r="B530" s="7" t="s">
        <v>85</v>
      </c>
      <c r="C530" s="28" t="s">
        <v>75</v>
      </c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</row>
    <row r="531" ht="15.75" customHeight="1">
      <c r="A531" s="77">
        <v>44584.0</v>
      </c>
      <c r="B531" s="7" t="s">
        <v>86</v>
      </c>
      <c r="C531" s="28" t="s">
        <v>75</v>
      </c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</row>
    <row r="532" ht="15.75" customHeight="1">
      <c r="A532" s="77">
        <v>44584.0</v>
      </c>
      <c r="B532" s="7" t="s">
        <v>88</v>
      </c>
      <c r="C532" s="28" t="s">
        <v>75</v>
      </c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</row>
    <row r="533" ht="15.75" customHeight="1">
      <c r="A533" s="77">
        <v>44584.0</v>
      </c>
      <c r="B533" s="7" t="s">
        <v>90</v>
      </c>
      <c r="C533" s="28" t="s">
        <v>75</v>
      </c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</row>
    <row r="534" ht="15.75" customHeight="1">
      <c r="A534" s="77">
        <v>44584.0</v>
      </c>
      <c r="B534" s="7" t="s">
        <v>92</v>
      </c>
      <c r="C534" s="28" t="s">
        <v>75</v>
      </c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</row>
    <row r="535" ht="15.75" customHeight="1">
      <c r="A535" s="77">
        <v>44584.0</v>
      </c>
      <c r="B535" s="7" t="s">
        <v>94</v>
      </c>
      <c r="C535" s="28" t="s">
        <v>75</v>
      </c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</row>
    <row r="536" ht="15.75" customHeight="1">
      <c r="A536" s="77">
        <v>44584.0</v>
      </c>
      <c r="B536" s="7" t="s">
        <v>96</v>
      </c>
      <c r="C536" s="28" t="s">
        <v>75</v>
      </c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</row>
    <row r="537" ht="15.75" customHeight="1">
      <c r="A537" s="77">
        <v>44584.0</v>
      </c>
      <c r="B537" s="7" t="s">
        <v>97</v>
      </c>
      <c r="C537" s="28" t="s">
        <v>75</v>
      </c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</row>
    <row r="538" ht="15.75" customHeight="1">
      <c r="A538" s="77">
        <v>44584.0</v>
      </c>
      <c r="B538" s="7" t="s">
        <v>98</v>
      </c>
      <c r="C538" s="28" t="s">
        <v>75</v>
      </c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</row>
    <row r="539" ht="15.75" customHeight="1">
      <c r="A539" s="77">
        <v>44584.0</v>
      </c>
      <c r="B539" s="7" t="s">
        <v>99</v>
      </c>
      <c r="C539" s="28" t="s">
        <v>75</v>
      </c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</row>
    <row r="540" ht="15.75" customHeight="1">
      <c r="A540" s="77">
        <v>44584.0</v>
      </c>
      <c r="B540" s="7" t="s">
        <v>100</v>
      </c>
      <c r="C540" s="28" t="s">
        <v>75</v>
      </c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</row>
    <row r="541" ht="15.75" customHeight="1">
      <c r="A541" s="77">
        <v>44584.0</v>
      </c>
      <c r="B541" s="7" t="s">
        <v>101</v>
      </c>
      <c r="C541" s="28" t="s">
        <v>75</v>
      </c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</row>
    <row r="542" ht="15.75" customHeight="1">
      <c r="A542" s="77">
        <v>44584.0</v>
      </c>
      <c r="B542" s="7" t="s">
        <v>102</v>
      </c>
      <c r="C542" s="28" t="s">
        <v>103</v>
      </c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</row>
    <row r="543" ht="15.75" customHeight="1">
      <c r="A543" s="77">
        <v>44584.0</v>
      </c>
      <c r="B543" s="7" t="s">
        <v>105</v>
      </c>
      <c r="C543" s="28" t="s">
        <v>103</v>
      </c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</row>
    <row r="544" ht="15.75" customHeight="1">
      <c r="A544" s="77">
        <v>44584.0</v>
      </c>
      <c r="B544" s="7" t="s">
        <v>107</v>
      </c>
      <c r="C544" s="28" t="s">
        <v>103</v>
      </c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</row>
    <row r="545" ht="15.75" customHeight="1">
      <c r="A545" s="77">
        <v>44584.0</v>
      </c>
      <c r="B545" s="7" t="s">
        <v>109</v>
      </c>
      <c r="C545" s="28" t="s">
        <v>103</v>
      </c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</row>
    <row r="546" ht="15.75" customHeight="1">
      <c r="A546" s="77">
        <v>44584.0</v>
      </c>
      <c r="B546" s="7" t="s">
        <v>111</v>
      </c>
      <c r="C546" s="28" t="s">
        <v>103</v>
      </c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</row>
    <row r="547" ht="15.75" customHeight="1">
      <c r="A547" s="77">
        <v>44584.0</v>
      </c>
      <c r="B547" s="7" t="s">
        <v>112</v>
      </c>
      <c r="C547" s="28" t="s">
        <v>103</v>
      </c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</row>
    <row r="548" ht="15.75" customHeight="1">
      <c r="A548" s="77">
        <v>44585.0</v>
      </c>
      <c r="B548" s="7" t="s">
        <v>67</v>
      </c>
      <c r="C548" s="28" t="s">
        <v>68</v>
      </c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</row>
    <row r="549" ht="15.75" customHeight="1">
      <c r="A549" s="77">
        <v>44585.0</v>
      </c>
      <c r="B549" s="7" t="s">
        <v>69</v>
      </c>
      <c r="C549" s="28" t="s">
        <v>68</v>
      </c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</row>
    <row r="550" ht="15.75" customHeight="1">
      <c r="A550" s="77">
        <v>44585.0</v>
      </c>
      <c r="B550" s="7" t="s">
        <v>70</v>
      </c>
      <c r="C550" s="28" t="s">
        <v>68</v>
      </c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</row>
    <row r="551" ht="15.75" customHeight="1">
      <c r="A551" s="77">
        <v>44585.0</v>
      </c>
      <c r="B551" s="7" t="s">
        <v>74</v>
      </c>
      <c r="C551" s="28" t="s">
        <v>75</v>
      </c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</row>
    <row r="552" ht="15.75" customHeight="1">
      <c r="A552" s="77">
        <v>44585.0</v>
      </c>
      <c r="B552" s="7" t="s">
        <v>71</v>
      </c>
      <c r="C552" s="28" t="s">
        <v>68</v>
      </c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</row>
    <row r="553" ht="15.75" customHeight="1">
      <c r="A553" s="77">
        <v>44585.0</v>
      </c>
      <c r="B553" s="7" t="s">
        <v>73</v>
      </c>
      <c r="C553" s="28" t="s">
        <v>68</v>
      </c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</row>
    <row r="554" ht="15.75" customHeight="1">
      <c r="A554" s="77">
        <v>44585.0</v>
      </c>
      <c r="B554" s="7" t="s">
        <v>77</v>
      </c>
      <c r="C554" s="28" t="s">
        <v>75</v>
      </c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</row>
    <row r="555" ht="15.75" customHeight="1">
      <c r="A555" s="77">
        <v>44585.0</v>
      </c>
      <c r="B555" s="7" t="s">
        <v>79</v>
      </c>
      <c r="C555" s="28" t="s">
        <v>75</v>
      </c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</row>
    <row r="556" ht="15.75" customHeight="1">
      <c r="A556" s="77">
        <v>44585.0</v>
      </c>
      <c r="B556" s="7" t="s">
        <v>81</v>
      </c>
      <c r="C556" s="28" t="s">
        <v>75</v>
      </c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</row>
    <row r="557" ht="15.75" customHeight="1">
      <c r="A557" s="77">
        <v>44585.0</v>
      </c>
      <c r="B557" s="7" t="s">
        <v>83</v>
      </c>
      <c r="C557" s="28" t="s">
        <v>75</v>
      </c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</row>
    <row r="558" ht="15.75" customHeight="1">
      <c r="A558" s="77">
        <v>44585.0</v>
      </c>
      <c r="B558" s="7" t="s">
        <v>85</v>
      </c>
      <c r="C558" s="28" t="s">
        <v>75</v>
      </c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</row>
    <row r="559" ht="15.75" customHeight="1">
      <c r="A559" s="77">
        <v>44585.0</v>
      </c>
      <c r="B559" s="7" t="s">
        <v>86</v>
      </c>
      <c r="C559" s="28" t="s">
        <v>75</v>
      </c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</row>
    <row r="560" ht="15.75" customHeight="1">
      <c r="A560" s="77">
        <v>44585.0</v>
      </c>
      <c r="B560" s="7" t="s">
        <v>88</v>
      </c>
      <c r="C560" s="28" t="s">
        <v>75</v>
      </c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</row>
    <row r="561" ht="15.75" customHeight="1">
      <c r="A561" s="77">
        <v>44585.0</v>
      </c>
      <c r="B561" s="7" t="s">
        <v>90</v>
      </c>
      <c r="C561" s="28" t="s">
        <v>75</v>
      </c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</row>
    <row r="562" ht="15.75" customHeight="1">
      <c r="A562" s="77">
        <v>44585.0</v>
      </c>
      <c r="B562" s="7" t="s">
        <v>92</v>
      </c>
      <c r="C562" s="28" t="s">
        <v>75</v>
      </c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</row>
    <row r="563" ht="15.75" customHeight="1">
      <c r="A563" s="77">
        <v>44585.0</v>
      </c>
      <c r="B563" s="7" t="s">
        <v>94</v>
      </c>
      <c r="C563" s="28" t="s">
        <v>75</v>
      </c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</row>
    <row r="564" ht="15.75" customHeight="1">
      <c r="A564" s="77">
        <v>44585.0</v>
      </c>
      <c r="B564" s="7" t="s">
        <v>96</v>
      </c>
      <c r="C564" s="28" t="s">
        <v>75</v>
      </c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</row>
    <row r="565" ht="15.75" customHeight="1">
      <c r="A565" s="77">
        <v>44585.0</v>
      </c>
      <c r="B565" s="7" t="s">
        <v>97</v>
      </c>
      <c r="C565" s="28" t="s">
        <v>75</v>
      </c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</row>
    <row r="566" ht="15.75" customHeight="1">
      <c r="A566" s="77">
        <v>44585.0</v>
      </c>
      <c r="B566" s="7" t="s">
        <v>98</v>
      </c>
      <c r="C566" s="28" t="s">
        <v>75</v>
      </c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</row>
    <row r="567" ht="15.75" customHeight="1">
      <c r="A567" s="77">
        <v>44585.0</v>
      </c>
      <c r="B567" s="7" t="s">
        <v>99</v>
      </c>
      <c r="C567" s="28" t="s">
        <v>75</v>
      </c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</row>
    <row r="568" ht="15.75" customHeight="1">
      <c r="A568" s="77">
        <v>44585.0</v>
      </c>
      <c r="B568" s="7" t="s">
        <v>100</v>
      </c>
      <c r="C568" s="28" t="s">
        <v>75</v>
      </c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</row>
    <row r="569" ht="15.75" customHeight="1">
      <c r="A569" s="77">
        <v>44585.0</v>
      </c>
      <c r="B569" s="7" t="s">
        <v>101</v>
      </c>
      <c r="C569" s="28" t="s">
        <v>75</v>
      </c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</row>
    <row r="570" ht="15.75" customHeight="1">
      <c r="A570" s="77">
        <v>44585.0</v>
      </c>
      <c r="B570" s="7" t="s">
        <v>102</v>
      </c>
      <c r="C570" s="28" t="s">
        <v>103</v>
      </c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</row>
    <row r="571" ht="15.75" customHeight="1">
      <c r="A571" s="77">
        <v>44585.0</v>
      </c>
      <c r="B571" s="7" t="s">
        <v>105</v>
      </c>
      <c r="C571" s="28" t="s">
        <v>103</v>
      </c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</row>
    <row r="572" ht="15.75" customHeight="1">
      <c r="A572" s="77">
        <v>44585.0</v>
      </c>
      <c r="B572" s="7" t="s">
        <v>107</v>
      </c>
      <c r="C572" s="28" t="s">
        <v>103</v>
      </c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</row>
    <row r="573" ht="15.75" customHeight="1">
      <c r="A573" s="77">
        <v>44585.0</v>
      </c>
      <c r="B573" s="7" t="s">
        <v>109</v>
      </c>
      <c r="C573" s="28" t="s">
        <v>103</v>
      </c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</row>
    <row r="574" ht="15.75" customHeight="1">
      <c r="A574" s="77">
        <v>44585.0</v>
      </c>
      <c r="B574" s="7" t="s">
        <v>111</v>
      </c>
      <c r="C574" s="28" t="s">
        <v>103</v>
      </c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</row>
    <row r="575" ht="15.75" customHeight="1">
      <c r="A575" s="77">
        <v>44585.0</v>
      </c>
      <c r="B575" s="7" t="s">
        <v>112</v>
      </c>
      <c r="C575" s="28" t="s">
        <v>103</v>
      </c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</row>
    <row r="576" ht="15.75" customHeight="1">
      <c r="A576" s="77">
        <v>44588.0</v>
      </c>
      <c r="B576" s="7" t="s">
        <v>67</v>
      </c>
      <c r="C576" s="28" t="s">
        <v>68</v>
      </c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</row>
    <row r="577" ht="15.75" customHeight="1">
      <c r="A577" s="77">
        <v>44588.0</v>
      </c>
      <c r="B577" s="7" t="s">
        <v>69</v>
      </c>
      <c r="C577" s="28" t="s">
        <v>68</v>
      </c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</row>
    <row r="578" ht="15.75" customHeight="1">
      <c r="A578" s="77">
        <v>44588.0</v>
      </c>
      <c r="B578" s="7" t="s">
        <v>70</v>
      </c>
      <c r="C578" s="28" t="s">
        <v>68</v>
      </c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</row>
    <row r="579" ht="15.75" customHeight="1">
      <c r="A579" s="77">
        <v>44588.0</v>
      </c>
      <c r="B579" s="7" t="s">
        <v>71</v>
      </c>
      <c r="C579" s="28" t="s">
        <v>68</v>
      </c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</row>
    <row r="580" ht="15.75" customHeight="1">
      <c r="A580" s="77">
        <v>44588.0</v>
      </c>
      <c r="B580" s="7" t="s">
        <v>73</v>
      </c>
      <c r="C580" s="28" t="s">
        <v>68</v>
      </c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</row>
    <row r="581" ht="15.75" customHeight="1">
      <c r="A581" s="77">
        <v>44588.0</v>
      </c>
      <c r="B581" s="7" t="s">
        <v>74</v>
      </c>
      <c r="C581" s="28" t="s">
        <v>75</v>
      </c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</row>
    <row r="582" ht="15.75" customHeight="1">
      <c r="A582" s="77">
        <v>44588.0</v>
      </c>
      <c r="B582" s="7" t="s">
        <v>77</v>
      </c>
      <c r="C582" s="28" t="s">
        <v>75</v>
      </c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</row>
    <row r="583" ht="15.75" customHeight="1">
      <c r="A583" s="77">
        <v>44588.0</v>
      </c>
      <c r="B583" s="7" t="s">
        <v>79</v>
      </c>
      <c r="C583" s="28" t="s">
        <v>75</v>
      </c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</row>
    <row r="584" ht="15.75" customHeight="1">
      <c r="A584" s="77">
        <v>44588.0</v>
      </c>
      <c r="B584" s="7" t="s">
        <v>81</v>
      </c>
      <c r="C584" s="28" t="s">
        <v>75</v>
      </c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</row>
    <row r="585" ht="15.75" customHeight="1">
      <c r="A585" s="77">
        <v>44588.0</v>
      </c>
      <c r="B585" s="7" t="s">
        <v>83</v>
      </c>
      <c r="C585" s="28" t="s">
        <v>75</v>
      </c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</row>
    <row r="586" ht="15.75" customHeight="1">
      <c r="A586" s="77">
        <v>44588.0</v>
      </c>
      <c r="B586" s="7" t="s">
        <v>85</v>
      </c>
      <c r="C586" s="28" t="s">
        <v>75</v>
      </c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</row>
    <row r="587" ht="15.75" customHeight="1">
      <c r="A587" s="77">
        <v>44588.0</v>
      </c>
      <c r="B587" s="7" t="s">
        <v>86</v>
      </c>
      <c r="C587" s="28" t="s">
        <v>75</v>
      </c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</row>
    <row r="588" ht="15.75" customHeight="1">
      <c r="A588" s="77">
        <v>44588.0</v>
      </c>
      <c r="B588" s="7" t="s">
        <v>88</v>
      </c>
      <c r="C588" s="28" t="s">
        <v>75</v>
      </c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</row>
    <row r="589" ht="15.75" customHeight="1">
      <c r="A589" s="77">
        <v>44588.0</v>
      </c>
      <c r="B589" s="7" t="s">
        <v>90</v>
      </c>
      <c r="C589" s="28" t="s">
        <v>75</v>
      </c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</row>
    <row r="590" ht="15.75" customHeight="1">
      <c r="A590" s="77">
        <v>44588.0</v>
      </c>
      <c r="B590" s="7" t="s">
        <v>92</v>
      </c>
      <c r="C590" s="28" t="s">
        <v>75</v>
      </c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</row>
    <row r="591" ht="15.75" customHeight="1">
      <c r="A591" s="77">
        <v>44588.0</v>
      </c>
      <c r="B591" s="7" t="s">
        <v>94</v>
      </c>
      <c r="C591" s="28" t="s">
        <v>75</v>
      </c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</row>
    <row r="592" ht="15.75" customHeight="1">
      <c r="A592" s="77">
        <v>44588.0</v>
      </c>
      <c r="B592" s="7" t="s">
        <v>96</v>
      </c>
      <c r="C592" s="28" t="s">
        <v>75</v>
      </c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</row>
    <row r="593" ht="15.75" customHeight="1">
      <c r="A593" s="77">
        <v>44588.0</v>
      </c>
      <c r="B593" s="7" t="s">
        <v>97</v>
      </c>
      <c r="C593" s="28" t="s">
        <v>75</v>
      </c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</row>
    <row r="594" ht="15.75" customHeight="1">
      <c r="A594" s="77">
        <v>44588.0</v>
      </c>
      <c r="B594" s="7" t="s">
        <v>98</v>
      </c>
      <c r="C594" s="28" t="s">
        <v>75</v>
      </c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</row>
    <row r="595" ht="15.75" customHeight="1">
      <c r="A595" s="77">
        <v>44588.0</v>
      </c>
      <c r="B595" s="7" t="s">
        <v>99</v>
      </c>
      <c r="C595" s="28" t="s">
        <v>75</v>
      </c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</row>
    <row r="596" ht="15.75" customHeight="1">
      <c r="A596" s="77">
        <v>44588.0</v>
      </c>
      <c r="B596" s="7" t="s">
        <v>100</v>
      </c>
      <c r="C596" s="28" t="s">
        <v>75</v>
      </c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</row>
    <row r="597" ht="15.75" customHeight="1">
      <c r="A597" s="77">
        <v>44588.0</v>
      </c>
      <c r="B597" s="7" t="s">
        <v>101</v>
      </c>
      <c r="C597" s="28" t="s">
        <v>75</v>
      </c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</row>
    <row r="598" ht="15.75" customHeight="1">
      <c r="A598" s="77">
        <v>44588.0</v>
      </c>
      <c r="B598" s="7" t="s">
        <v>102</v>
      </c>
      <c r="C598" s="28" t="s">
        <v>103</v>
      </c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</row>
    <row r="599" ht="15.75" customHeight="1">
      <c r="A599" s="77">
        <v>44588.0</v>
      </c>
      <c r="B599" s="7" t="s">
        <v>105</v>
      </c>
      <c r="C599" s="28" t="s">
        <v>103</v>
      </c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</row>
    <row r="600" ht="15.75" customHeight="1">
      <c r="A600" s="77">
        <v>44588.0</v>
      </c>
      <c r="B600" s="7" t="s">
        <v>107</v>
      </c>
      <c r="C600" s="28" t="s">
        <v>103</v>
      </c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</row>
    <row r="601" ht="15.75" customHeight="1">
      <c r="A601" s="77">
        <v>44588.0</v>
      </c>
      <c r="B601" s="7" t="s">
        <v>109</v>
      </c>
      <c r="C601" s="28" t="s">
        <v>103</v>
      </c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</row>
    <row r="602" ht="15.75" customHeight="1">
      <c r="A602" s="77">
        <v>44588.0</v>
      </c>
      <c r="B602" s="7" t="s">
        <v>111</v>
      </c>
      <c r="C602" s="28" t="s">
        <v>103</v>
      </c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</row>
    <row r="603" ht="15.75" customHeight="1">
      <c r="A603" s="77">
        <v>44588.0</v>
      </c>
      <c r="B603" s="7" t="s">
        <v>112</v>
      </c>
      <c r="C603" s="28" t="s">
        <v>103</v>
      </c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</row>
    <row r="604" ht="15.75" customHeight="1">
      <c r="A604" s="77">
        <v>44590.0</v>
      </c>
      <c r="B604" s="7" t="s">
        <v>67</v>
      </c>
      <c r="C604" s="28" t="s">
        <v>68</v>
      </c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</row>
    <row r="605" ht="15.75" customHeight="1">
      <c r="A605" s="77">
        <v>44590.0</v>
      </c>
      <c r="B605" s="7" t="s">
        <v>69</v>
      </c>
      <c r="C605" s="28" t="s">
        <v>68</v>
      </c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</row>
    <row r="606" ht="15.75" customHeight="1">
      <c r="A606" s="77">
        <v>44590.0</v>
      </c>
      <c r="B606" s="7" t="s">
        <v>70</v>
      </c>
      <c r="C606" s="28" t="s">
        <v>68</v>
      </c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</row>
    <row r="607" ht="15.75" customHeight="1">
      <c r="A607" s="77">
        <v>44590.0</v>
      </c>
      <c r="B607" s="7" t="s">
        <v>71</v>
      </c>
      <c r="C607" s="28" t="s">
        <v>68</v>
      </c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</row>
    <row r="608" ht="15.75" customHeight="1">
      <c r="A608" s="77">
        <v>44590.0</v>
      </c>
      <c r="B608" s="7" t="s">
        <v>73</v>
      </c>
      <c r="C608" s="28" t="s">
        <v>68</v>
      </c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</row>
    <row r="609" ht="15.75" customHeight="1">
      <c r="A609" s="77">
        <v>44590.0</v>
      </c>
      <c r="B609" s="7" t="s">
        <v>74</v>
      </c>
      <c r="C609" s="28" t="s">
        <v>75</v>
      </c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</row>
    <row r="610" ht="15.75" customHeight="1">
      <c r="A610" s="77">
        <v>44590.0</v>
      </c>
      <c r="B610" s="7" t="s">
        <v>77</v>
      </c>
      <c r="C610" s="28" t="s">
        <v>75</v>
      </c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</row>
    <row r="611" ht="15.75" customHeight="1">
      <c r="A611" s="77">
        <v>44590.0</v>
      </c>
      <c r="B611" s="7" t="s">
        <v>79</v>
      </c>
      <c r="C611" s="28" t="s">
        <v>75</v>
      </c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</row>
    <row r="612" ht="15.75" customHeight="1">
      <c r="A612" s="77">
        <v>44590.0</v>
      </c>
      <c r="B612" s="7" t="s">
        <v>81</v>
      </c>
      <c r="C612" s="28" t="s">
        <v>75</v>
      </c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</row>
    <row r="613" ht="15.75" customHeight="1">
      <c r="A613" s="77">
        <v>44590.0</v>
      </c>
      <c r="B613" s="7" t="s">
        <v>83</v>
      </c>
      <c r="C613" s="28" t="s">
        <v>75</v>
      </c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</row>
    <row r="614" ht="15.75" customHeight="1">
      <c r="A614" s="77">
        <v>44590.0</v>
      </c>
      <c r="B614" s="7" t="s">
        <v>85</v>
      </c>
      <c r="C614" s="28" t="s">
        <v>75</v>
      </c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</row>
    <row r="615" ht="15.75" customHeight="1">
      <c r="A615" s="77">
        <v>44590.0</v>
      </c>
      <c r="B615" s="7" t="s">
        <v>86</v>
      </c>
      <c r="C615" s="28" t="s">
        <v>75</v>
      </c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</row>
    <row r="616" ht="15.75" customHeight="1">
      <c r="A616" s="77">
        <v>44590.0</v>
      </c>
      <c r="B616" s="7" t="s">
        <v>88</v>
      </c>
      <c r="C616" s="28" t="s">
        <v>75</v>
      </c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</row>
    <row r="617" ht="15.75" customHeight="1">
      <c r="A617" s="77">
        <v>44590.0</v>
      </c>
      <c r="B617" s="7" t="s">
        <v>90</v>
      </c>
      <c r="C617" s="28" t="s">
        <v>75</v>
      </c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</row>
    <row r="618" ht="15.75" customHeight="1">
      <c r="A618" s="77">
        <v>44590.0</v>
      </c>
      <c r="B618" s="7" t="s">
        <v>92</v>
      </c>
      <c r="C618" s="28" t="s">
        <v>75</v>
      </c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</row>
    <row r="619" ht="15.75" customHeight="1">
      <c r="A619" s="77">
        <v>44590.0</v>
      </c>
      <c r="B619" s="7" t="s">
        <v>94</v>
      </c>
      <c r="C619" s="28" t="s">
        <v>75</v>
      </c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</row>
    <row r="620" ht="15.75" customHeight="1">
      <c r="A620" s="77">
        <v>44590.0</v>
      </c>
      <c r="B620" s="7" t="s">
        <v>96</v>
      </c>
      <c r="C620" s="28" t="s">
        <v>75</v>
      </c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</row>
    <row r="621" ht="15.75" customHeight="1">
      <c r="A621" s="77">
        <v>44590.0</v>
      </c>
      <c r="B621" s="7" t="s">
        <v>97</v>
      </c>
      <c r="C621" s="28" t="s">
        <v>75</v>
      </c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</row>
    <row r="622" ht="15.75" customHeight="1">
      <c r="A622" s="77">
        <v>44590.0</v>
      </c>
      <c r="B622" s="7" t="s">
        <v>98</v>
      </c>
      <c r="C622" s="28" t="s">
        <v>75</v>
      </c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</row>
    <row r="623" ht="15.75" customHeight="1">
      <c r="A623" s="77">
        <v>44590.0</v>
      </c>
      <c r="B623" s="7" t="s">
        <v>99</v>
      </c>
      <c r="C623" s="28" t="s">
        <v>75</v>
      </c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</row>
    <row r="624" ht="15.75" customHeight="1">
      <c r="A624" s="77">
        <v>44590.0</v>
      </c>
      <c r="B624" s="7" t="s">
        <v>100</v>
      </c>
      <c r="C624" s="28" t="s">
        <v>75</v>
      </c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</row>
    <row r="625" ht="15.75" customHeight="1">
      <c r="A625" s="77">
        <v>44590.0</v>
      </c>
      <c r="B625" s="7" t="s">
        <v>101</v>
      </c>
      <c r="C625" s="28" t="s">
        <v>75</v>
      </c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</row>
    <row r="626" ht="15.75" customHeight="1">
      <c r="A626" s="77">
        <v>44590.0</v>
      </c>
      <c r="B626" s="7" t="s">
        <v>102</v>
      </c>
      <c r="C626" s="28" t="s">
        <v>103</v>
      </c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</row>
    <row r="627" ht="15.75" customHeight="1">
      <c r="A627" s="77">
        <v>44590.0</v>
      </c>
      <c r="B627" s="7" t="s">
        <v>105</v>
      </c>
      <c r="C627" s="28" t="s">
        <v>103</v>
      </c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</row>
    <row r="628" ht="15.75" customHeight="1">
      <c r="A628" s="77">
        <v>44590.0</v>
      </c>
      <c r="B628" s="7" t="s">
        <v>107</v>
      </c>
      <c r="C628" s="28" t="s">
        <v>103</v>
      </c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</row>
    <row r="629" ht="15.75" customHeight="1">
      <c r="A629" s="77">
        <v>44590.0</v>
      </c>
      <c r="B629" s="7" t="s">
        <v>109</v>
      </c>
      <c r="C629" s="28" t="s">
        <v>103</v>
      </c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</row>
    <row r="630" ht="15.75" customHeight="1">
      <c r="A630" s="77">
        <v>44590.0</v>
      </c>
      <c r="B630" s="7" t="s">
        <v>111</v>
      </c>
      <c r="C630" s="28" t="s">
        <v>103</v>
      </c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</row>
    <row r="631" ht="15.75" customHeight="1">
      <c r="A631" s="77">
        <v>44590.0</v>
      </c>
      <c r="B631" s="7" t="s">
        <v>112</v>
      </c>
      <c r="C631" s="28" t="s">
        <v>103</v>
      </c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</row>
    <row r="632" ht="15.75" customHeight="1">
      <c r="A632" s="77">
        <v>44592.0</v>
      </c>
      <c r="B632" s="7" t="s">
        <v>67</v>
      </c>
      <c r="C632" s="28" t="s">
        <v>68</v>
      </c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</row>
    <row r="633" ht="15.75" customHeight="1">
      <c r="A633" s="77">
        <v>44592.0</v>
      </c>
      <c r="B633" s="7" t="s">
        <v>69</v>
      </c>
      <c r="C633" s="28" t="s">
        <v>68</v>
      </c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</row>
    <row r="634" ht="15.75" customHeight="1">
      <c r="A634" s="77">
        <v>44592.0</v>
      </c>
      <c r="B634" s="7" t="s">
        <v>70</v>
      </c>
      <c r="C634" s="28" t="s">
        <v>68</v>
      </c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</row>
    <row r="635" ht="15.75" customHeight="1">
      <c r="A635" s="77">
        <v>44592.0</v>
      </c>
      <c r="B635" s="7" t="s">
        <v>71</v>
      </c>
      <c r="C635" s="28" t="s">
        <v>68</v>
      </c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</row>
    <row r="636" ht="15.75" customHeight="1">
      <c r="A636" s="77">
        <v>44592.0</v>
      </c>
      <c r="B636" s="7" t="s">
        <v>73</v>
      </c>
      <c r="C636" s="28" t="s">
        <v>68</v>
      </c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</row>
    <row r="637" ht="15.75" customHeight="1">
      <c r="A637" s="77">
        <v>44592.0</v>
      </c>
      <c r="B637" s="7" t="s">
        <v>74</v>
      </c>
      <c r="C637" s="28" t="s">
        <v>75</v>
      </c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</row>
    <row r="638" ht="15.75" customHeight="1">
      <c r="A638" s="77">
        <v>44592.0</v>
      </c>
      <c r="B638" s="7" t="s">
        <v>77</v>
      </c>
      <c r="C638" s="28" t="s">
        <v>75</v>
      </c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</row>
    <row r="639" ht="15.75" customHeight="1">
      <c r="A639" s="77">
        <v>44592.0</v>
      </c>
      <c r="B639" s="7" t="s">
        <v>79</v>
      </c>
      <c r="C639" s="28" t="s">
        <v>75</v>
      </c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</row>
    <row r="640" ht="15.75" customHeight="1">
      <c r="A640" s="77">
        <v>44592.0</v>
      </c>
      <c r="B640" s="7" t="s">
        <v>81</v>
      </c>
      <c r="C640" s="28" t="s">
        <v>75</v>
      </c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</row>
    <row r="641" ht="15.75" customHeight="1">
      <c r="A641" s="77">
        <v>44592.0</v>
      </c>
      <c r="B641" s="7" t="s">
        <v>83</v>
      </c>
      <c r="C641" s="28" t="s">
        <v>75</v>
      </c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</row>
    <row r="642" ht="15.75" customHeight="1">
      <c r="A642" s="77">
        <v>44592.0</v>
      </c>
      <c r="B642" s="7" t="s">
        <v>85</v>
      </c>
      <c r="C642" s="28" t="s">
        <v>75</v>
      </c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</row>
    <row r="643" ht="15.75" customHeight="1">
      <c r="A643" s="77">
        <v>44592.0</v>
      </c>
      <c r="B643" s="7" t="s">
        <v>86</v>
      </c>
      <c r="C643" s="28" t="s">
        <v>75</v>
      </c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</row>
    <row r="644" ht="15.75" customHeight="1">
      <c r="A644" s="77">
        <v>44592.0</v>
      </c>
      <c r="B644" s="7" t="s">
        <v>88</v>
      </c>
      <c r="C644" s="28" t="s">
        <v>75</v>
      </c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</row>
    <row r="645" ht="15.75" customHeight="1">
      <c r="A645" s="77">
        <v>44592.0</v>
      </c>
      <c r="B645" s="7" t="s">
        <v>90</v>
      </c>
      <c r="C645" s="28" t="s">
        <v>75</v>
      </c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</row>
    <row r="646" ht="15.75" customHeight="1">
      <c r="A646" s="77">
        <v>44592.0</v>
      </c>
      <c r="B646" s="7" t="s">
        <v>92</v>
      </c>
      <c r="C646" s="28" t="s">
        <v>75</v>
      </c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</row>
    <row r="647" ht="15.75" customHeight="1">
      <c r="A647" s="77">
        <v>44592.0</v>
      </c>
      <c r="B647" s="7" t="s">
        <v>94</v>
      </c>
      <c r="C647" s="28" t="s">
        <v>75</v>
      </c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</row>
    <row r="648" ht="15.75" customHeight="1">
      <c r="A648" s="77">
        <v>44592.0</v>
      </c>
      <c r="B648" s="7" t="s">
        <v>96</v>
      </c>
      <c r="C648" s="28" t="s">
        <v>75</v>
      </c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</row>
    <row r="649" ht="15.75" customHeight="1">
      <c r="A649" s="77">
        <v>44592.0</v>
      </c>
      <c r="B649" s="7" t="s">
        <v>97</v>
      </c>
      <c r="C649" s="28" t="s">
        <v>75</v>
      </c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</row>
    <row r="650" ht="15.75" customHeight="1">
      <c r="A650" s="77">
        <v>44592.0</v>
      </c>
      <c r="B650" s="7" t="s">
        <v>98</v>
      </c>
      <c r="C650" s="28" t="s">
        <v>75</v>
      </c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</row>
    <row r="651" ht="15.75" customHeight="1">
      <c r="A651" s="77">
        <v>44592.0</v>
      </c>
      <c r="B651" s="7" t="s">
        <v>99</v>
      </c>
      <c r="C651" s="28" t="s">
        <v>75</v>
      </c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</row>
    <row r="652" ht="15.75" customHeight="1">
      <c r="A652" s="77">
        <v>44592.0</v>
      </c>
      <c r="B652" s="7" t="s">
        <v>100</v>
      </c>
      <c r="C652" s="28" t="s">
        <v>75</v>
      </c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</row>
    <row r="653" ht="15.75" customHeight="1">
      <c r="A653" s="77">
        <v>44592.0</v>
      </c>
      <c r="B653" s="7" t="s">
        <v>101</v>
      </c>
      <c r="C653" s="28" t="s">
        <v>75</v>
      </c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</row>
    <row r="654" ht="15.75" customHeight="1">
      <c r="A654" s="77">
        <v>44592.0</v>
      </c>
      <c r="B654" s="7" t="s">
        <v>102</v>
      </c>
      <c r="C654" s="28" t="s">
        <v>103</v>
      </c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</row>
    <row r="655" ht="15.75" customHeight="1">
      <c r="A655" s="77">
        <v>44592.0</v>
      </c>
      <c r="B655" s="7" t="s">
        <v>105</v>
      </c>
      <c r="C655" s="28" t="s">
        <v>103</v>
      </c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</row>
    <row r="656" ht="15.75" customHeight="1">
      <c r="A656" s="77">
        <v>44592.0</v>
      </c>
      <c r="B656" s="7" t="s">
        <v>107</v>
      </c>
      <c r="C656" s="28" t="s">
        <v>103</v>
      </c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</row>
    <row r="657" ht="15.75" customHeight="1">
      <c r="A657" s="77">
        <v>44592.0</v>
      </c>
      <c r="B657" s="7" t="s">
        <v>109</v>
      </c>
      <c r="C657" s="28" t="s">
        <v>103</v>
      </c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</row>
    <row r="658" ht="15.75" customHeight="1">
      <c r="A658" s="77">
        <v>44592.0</v>
      </c>
      <c r="B658" s="7" t="s">
        <v>111</v>
      </c>
      <c r="C658" s="28" t="s">
        <v>103</v>
      </c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</row>
    <row r="659" ht="15.75" customHeight="1">
      <c r="A659" s="77">
        <v>44592.0</v>
      </c>
      <c r="B659" s="7" t="s">
        <v>112</v>
      </c>
      <c r="C659" s="28" t="s">
        <v>103</v>
      </c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</row>
    <row r="660" ht="15.75" customHeight="1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</row>
    <row r="661" ht="15.75" customHeight="1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</row>
    <row r="662" ht="15.75" customHeight="1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</row>
    <row r="663" ht="15.75" customHeight="1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</row>
    <row r="664" ht="15.75" customHeight="1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</row>
    <row r="665" ht="15.75" customHeight="1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</row>
    <row r="666" ht="15.75" customHeight="1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</row>
    <row r="667" ht="15.75" customHeight="1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</row>
    <row r="668" ht="15.75" customHeight="1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</row>
    <row r="669" ht="15.75" customHeight="1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</row>
    <row r="670" ht="15.75" customHeight="1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</row>
    <row r="671" ht="15.75" customHeight="1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</row>
    <row r="672" ht="15.75" customHeight="1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</row>
    <row r="673" ht="15.75" customHeight="1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</row>
    <row r="674" ht="15.75" customHeight="1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</row>
    <row r="675" ht="15.75" customHeight="1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</row>
    <row r="676" ht="15.75" customHeight="1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</row>
    <row r="677" ht="15.75" customHeight="1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</row>
    <row r="678" ht="15.75" customHeight="1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</row>
    <row r="679" ht="15.75" customHeight="1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</row>
    <row r="680" ht="15.75" customHeight="1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</row>
    <row r="681" ht="15.75" customHeight="1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</row>
    <row r="682" ht="15.75" customHeight="1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</row>
    <row r="683" ht="15.75" customHeight="1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</row>
    <row r="684" ht="15.75" customHeight="1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</row>
    <row r="685" ht="15.75" customHeight="1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</row>
    <row r="686" ht="15.75" customHeight="1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</row>
    <row r="687" ht="15.75" customHeight="1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</row>
    <row r="688" ht="15.75" customHeight="1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</row>
    <row r="689" ht="15.75" customHeight="1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</row>
    <row r="690" ht="15.75" customHeight="1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</row>
    <row r="691" ht="15.75" customHeight="1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</row>
    <row r="692" ht="15.75" customHeight="1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</row>
    <row r="693" ht="15.75" customHeight="1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</row>
    <row r="694" ht="15.75" customHeight="1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</row>
    <row r="695" ht="15.75" customHeight="1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</row>
    <row r="696" ht="15.75" customHeight="1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</row>
    <row r="697" ht="15.75" customHeight="1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</row>
    <row r="698" ht="15.75" customHeight="1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</row>
    <row r="699" ht="15.75" customHeight="1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</row>
    <row r="700" ht="15.75" customHeight="1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</row>
    <row r="701" ht="15.75" customHeight="1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</row>
    <row r="702" ht="15.75" customHeight="1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</row>
    <row r="703" ht="15.75" customHeight="1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</row>
    <row r="704" ht="15.75" customHeight="1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</row>
    <row r="705" ht="15.75" customHeight="1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</row>
    <row r="706" ht="15.75" customHeight="1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</row>
    <row r="707" ht="15.75" customHeight="1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</row>
    <row r="708" ht="15.75" customHeight="1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</row>
    <row r="709" ht="15.75" customHeight="1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</row>
    <row r="710" ht="15.75" customHeight="1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</row>
    <row r="711" ht="15.75" customHeight="1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</row>
    <row r="712" ht="15.75" customHeight="1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</row>
    <row r="713" ht="15.75" customHeight="1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</row>
    <row r="714" ht="15.75" customHeight="1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</row>
    <row r="715" ht="15.75" customHeight="1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</row>
    <row r="716" ht="15.75" customHeight="1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</row>
    <row r="717" ht="15.75" customHeight="1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</row>
    <row r="718" ht="15.75" customHeight="1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</row>
    <row r="719" ht="15.75" customHeight="1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</row>
    <row r="720" ht="15.75" customHeight="1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</row>
    <row r="721" ht="15.75" customHeight="1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</row>
    <row r="722" ht="15.75" customHeight="1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</row>
    <row r="723" ht="15.75" customHeight="1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</row>
    <row r="724" ht="15.75" customHeight="1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</row>
    <row r="725" ht="15.75" customHeight="1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</row>
    <row r="726" ht="15.75" customHeight="1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</row>
    <row r="727" ht="15.75" customHeight="1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</row>
    <row r="728" ht="15.75" customHeight="1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</row>
    <row r="729" ht="15.75" customHeight="1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</row>
    <row r="730" ht="15.75" customHeight="1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</row>
    <row r="731" ht="15.75" customHeight="1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</row>
    <row r="732" ht="15.75" customHeight="1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</row>
    <row r="733" ht="15.75" customHeight="1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</row>
    <row r="734" ht="15.75" customHeight="1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</row>
    <row r="735" ht="15.75" customHeight="1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</row>
    <row r="736" ht="15.75" customHeight="1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</row>
    <row r="737" ht="15.75" customHeight="1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</row>
    <row r="738" ht="15.75" customHeight="1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</row>
    <row r="739" ht="15.75" customHeight="1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</row>
    <row r="740" ht="15.75" customHeight="1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</row>
    <row r="741" ht="15.75" customHeight="1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</row>
    <row r="742" ht="15.75" customHeight="1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</row>
    <row r="743" ht="15.75" customHeight="1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</row>
    <row r="744" ht="15.75" customHeight="1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</row>
    <row r="745" ht="15.75" customHeight="1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</row>
    <row r="746" ht="15.75" customHeight="1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</row>
    <row r="747" ht="15.75" customHeight="1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</row>
    <row r="748" ht="15.75" customHeight="1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</row>
    <row r="749" ht="15.75" customHeight="1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</row>
    <row r="750" ht="15.75" customHeight="1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</row>
    <row r="751" ht="15.75" customHeight="1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</row>
    <row r="752" ht="15.75" customHeight="1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</row>
    <row r="753" ht="15.75" customHeight="1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</row>
    <row r="754" ht="15.75" customHeight="1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</row>
    <row r="755" ht="15.75" customHeight="1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</row>
    <row r="756" ht="15.75" customHeight="1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</row>
    <row r="757" ht="15.75" customHeight="1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</row>
    <row r="758" ht="15.75" customHeight="1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</row>
    <row r="759" ht="15.75" customHeight="1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</row>
    <row r="760" ht="15.75" customHeight="1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</row>
    <row r="761" ht="15.75" customHeight="1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</row>
    <row r="762" ht="15.75" customHeight="1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</row>
    <row r="763" ht="15.75" customHeight="1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</row>
    <row r="764" ht="15.75" customHeight="1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</row>
    <row r="765" ht="15.75" customHeight="1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</row>
    <row r="766" ht="15.75" customHeight="1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</row>
    <row r="767" ht="15.75" customHeight="1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</row>
    <row r="768" ht="15.75" customHeight="1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</row>
    <row r="769" ht="15.75" customHeight="1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</row>
    <row r="770" ht="15.75" customHeight="1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</row>
    <row r="771" ht="15.75" customHeight="1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</row>
    <row r="772" ht="15.75" customHeight="1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</row>
    <row r="773" ht="15.75" customHeight="1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</row>
    <row r="774" ht="15.75" customHeight="1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</row>
    <row r="775" ht="15.75" customHeight="1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</row>
    <row r="776" ht="15.75" customHeight="1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</row>
    <row r="777" ht="15.75" customHeight="1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</row>
    <row r="778" ht="15.75" customHeight="1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</row>
    <row r="779" ht="15.75" customHeight="1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</row>
    <row r="780" ht="15.75" customHeight="1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</row>
    <row r="781" ht="15.75" customHeight="1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</row>
    <row r="782" ht="15.75" customHeight="1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</row>
    <row r="783" ht="15.75" customHeight="1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</row>
    <row r="784" ht="15.75" customHeight="1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</row>
    <row r="785" ht="15.75" customHeight="1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</row>
    <row r="786" ht="15.75" customHeight="1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</row>
    <row r="787" ht="15.75" customHeight="1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</row>
    <row r="788" ht="15.75" customHeight="1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</row>
    <row r="789" ht="15.75" customHeight="1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</row>
    <row r="790" ht="15.75" customHeight="1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</row>
    <row r="791" ht="15.75" customHeight="1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</row>
    <row r="792" ht="15.75" customHeight="1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</row>
    <row r="793" ht="15.75" customHeight="1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</row>
    <row r="794" ht="15.75" customHeight="1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</row>
    <row r="795" ht="15.75" customHeight="1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</row>
    <row r="796" ht="15.75" customHeight="1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</row>
    <row r="797" ht="15.75" customHeight="1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</row>
    <row r="798" ht="15.75" customHeight="1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</row>
    <row r="799" ht="15.75" customHeight="1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</row>
    <row r="800" ht="15.75" customHeight="1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</row>
    <row r="801" ht="15.75" customHeight="1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</row>
    <row r="802" ht="15.75" customHeight="1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</row>
    <row r="803" ht="15.75" customHeight="1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</row>
    <row r="804" ht="15.75" customHeight="1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</row>
    <row r="805" ht="15.75" customHeight="1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</row>
    <row r="806" ht="15.75" customHeight="1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</row>
    <row r="807" ht="15.75" customHeight="1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</row>
    <row r="808" ht="15.75" customHeight="1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</row>
    <row r="809" ht="15.75" customHeight="1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</row>
    <row r="810" ht="15.75" customHeight="1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</row>
    <row r="811" ht="15.75" customHeight="1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</row>
    <row r="812" ht="15.75" customHeight="1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</row>
    <row r="813" ht="15.75" customHeight="1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</row>
    <row r="814" ht="15.75" customHeight="1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</row>
    <row r="815" ht="15.75" customHeight="1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</row>
    <row r="816" ht="15.75" customHeight="1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</row>
    <row r="817" ht="15.75" customHeight="1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</row>
    <row r="818" ht="15.75" customHeight="1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</row>
    <row r="819" ht="15.75" customHeight="1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</row>
    <row r="820" ht="15.75" customHeight="1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</row>
    <row r="821" ht="15.75" customHeight="1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</row>
    <row r="822" ht="15.75" customHeight="1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</row>
    <row r="823" ht="15.75" customHeight="1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</row>
    <row r="824" ht="15.75" customHeight="1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</row>
    <row r="825" ht="15.75" customHeight="1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</row>
    <row r="826" ht="15.75" customHeight="1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</row>
    <row r="827" ht="15.75" customHeight="1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</row>
    <row r="828" ht="15.75" customHeight="1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</row>
    <row r="829" ht="15.75" customHeight="1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</row>
    <row r="830" ht="15.75" customHeight="1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</row>
    <row r="831" ht="15.75" customHeight="1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</row>
    <row r="832" ht="15.75" customHeight="1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</row>
    <row r="833" ht="15.75" customHeight="1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</row>
    <row r="834" ht="15.75" customHeight="1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</row>
    <row r="835" ht="15.75" customHeight="1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</row>
    <row r="836" ht="15.75" customHeight="1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</row>
    <row r="837" ht="15.75" customHeight="1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</row>
    <row r="838" ht="15.75" customHeight="1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</row>
    <row r="839" ht="15.75" customHeight="1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</row>
    <row r="840" ht="15.75" customHeight="1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</row>
    <row r="841" ht="15.75" customHeight="1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</row>
    <row r="842" ht="15.75" customHeight="1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</row>
    <row r="843" ht="15.75" customHeight="1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</row>
    <row r="844" ht="15.75" customHeight="1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</row>
    <row r="845" ht="15.75" customHeight="1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</row>
    <row r="846" ht="15.75" customHeight="1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</row>
    <row r="847" ht="15.75" customHeight="1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</row>
    <row r="848" ht="15.75" customHeight="1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</row>
    <row r="849" ht="15.75" customHeight="1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</row>
    <row r="850" ht="15.75" customHeight="1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</row>
    <row r="851" ht="15.75" customHeight="1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</row>
    <row r="852" ht="15.75" customHeight="1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</row>
    <row r="853" ht="15.75" customHeight="1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</row>
    <row r="854" ht="15.75" customHeight="1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</row>
    <row r="855" ht="15.75" customHeight="1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</row>
    <row r="856" ht="15.75" customHeight="1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</row>
    <row r="857" ht="15.75" customHeight="1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</row>
    <row r="858" ht="15.75" customHeight="1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</row>
    <row r="859" ht="15.75" customHeight="1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</row>
    <row r="860" ht="15.75" customHeight="1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</row>
    <row r="861" ht="15.75" customHeight="1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</row>
    <row r="862" ht="15.75" customHeight="1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</row>
    <row r="863" ht="15.75" customHeight="1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</row>
    <row r="864" ht="15.75" customHeight="1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</row>
    <row r="865" ht="15.75" customHeight="1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</row>
    <row r="866" ht="15.75" customHeight="1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</row>
    <row r="867" ht="15.75" customHeight="1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</row>
    <row r="868" ht="15.75" customHeight="1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</row>
    <row r="869" ht="15.75" customHeight="1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</row>
    <row r="870" ht="15.75" customHeight="1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</row>
    <row r="871" ht="15.75" customHeight="1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</row>
    <row r="872" ht="15.75" customHeight="1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</row>
    <row r="873" ht="15.75" customHeight="1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</row>
    <row r="874" ht="15.75" customHeight="1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</row>
    <row r="875" ht="15.75" customHeight="1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</row>
    <row r="876" ht="15.75" customHeight="1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</row>
    <row r="877" ht="15.75" customHeight="1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</row>
    <row r="878" ht="15.75" customHeight="1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</row>
    <row r="879" ht="15.75" customHeight="1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ht="15.75" customHeight="1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</row>
    <row r="881" ht="15.75" customHeight="1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</row>
    <row r="882" ht="15.75" customHeight="1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</row>
    <row r="883" ht="15.75" customHeight="1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</row>
    <row r="884" ht="15.75" customHeight="1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</row>
    <row r="885" ht="15.75" customHeight="1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</row>
    <row r="886" ht="15.75" customHeight="1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</row>
    <row r="887" ht="15.75" customHeight="1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</row>
    <row r="888" ht="15.75" customHeight="1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</row>
    <row r="889" ht="15.75" customHeight="1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</row>
    <row r="890" ht="15.75" customHeight="1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</row>
    <row r="891" ht="15.75" customHeight="1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</row>
    <row r="892" ht="15.75" customHeight="1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</row>
    <row r="893" ht="15.75" customHeight="1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</row>
    <row r="894" ht="15.75" customHeight="1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</row>
    <row r="895" ht="15.75" customHeight="1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</row>
    <row r="896" ht="15.75" customHeight="1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</row>
    <row r="897" ht="15.75" customHeight="1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</row>
    <row r="898" ht="15.75" customHeight="1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</row>
    <row r="899" ht="15.75" customHeight="1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</row>
    <row r="900" ht="15.75" customHeight="1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</row>
    <row r="901" ht="15.75" customHeight="1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</row>
    <row r="902" ht="15.75" customHeight="1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</row>
    <row r="903" ht="15.75" customHeight="1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</row>
    <row r="904" ht="15.75" customHeight="1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</row>
    <row r="905" ht="15.75" customHeight="1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</row>
    <row r="906" ht="15.75" customHeight="1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</row>
    <row r="907" ht="15.75" customHeight="1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</row>
    <row r="908" ht="15.75" customHeight="1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</row>
    <row r="909" ht="15.75" customHeight="1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</row>
    <row r="910" ht="15.75" customHeight="1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</row>
    <row r="911" ht="15.75" customHeight="1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</row>
    <row r="912" ht="15.75" customHeight="1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</row>
    <row r="913" ht="15.75" customHeight="1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</row>
    <row r="914" ht="15.75" customHeight="1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</row>
    <row r="915" ht="15.75" customHeight="1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</row>
    <row r="916" ht="15.75" customHeight="1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</row>
    <row r="917" ht="15.75" customHeight="1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</row>
    <row r="918" ht="15.75" customHeight="1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</row>
    <row r="919" ht="15.75" customHeight="1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</row>
    <row r="920" ht="15.75" customHeight="1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</row>
    <row r="921" ht="15.75" customHeight="1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</row>
    <row r="922" ht="15.75" customHeight="1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</row>
    <row r="923" ht="15.75" customHeight="1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</row>
    <row r="924" ht="15.75" customHeight="1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</row>
    <row r="925" ht="15.75" customHeight="1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</row>
    <row r="926" ht="15.75" customHeight="1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</row>
    <row r="927" ht="15.75" customHeight="1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</row>
    <row r="928" ht="15.75" customHeight="1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</row>
    <row r="929" ht="15.75" customHeight="1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</row>
    <row r="930" ht="15.75" customHeight="1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</row>
    <row r="931" ht="15.75" customHeight="1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</row>
    <row r="932" ht="15.75" customHeight="1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</row>
    <row r="933" ht="15.75" customHeight="1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</row>
    <row r="934" ht="15.75" customHeight="1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</row>
    <row r="935" ht="15.75" customHeight="1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</row>
    <row r="936" ht="15.75" customHeight="1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</row>
    <row r="937" ht="15.75" customHeight="1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</row>
    <row r="938" ht="15.75" customHeight="1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</row>
    <row r="939" ht="15.75" customHeight="1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</row>
    <row r="940" ht="15.75" customHeight="1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</row>
    <row r="941" ht="15.75" customHeight="1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</row>
    <row r="942" ht="15.75" customHeight="1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</row>
    <row r="943" ht="15.75" customHeight="1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</row>
    <row r="944" ht="15.75" customHeight="1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</row>
    <row r="945" ht="15.75" customHeight="1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</row>
    <row r="946" ht="15.75" customHeight="1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</row>
    <row r="947" ht="15.75" customHeight="1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</row>
    <row r="948" ht="15.75" customHeight="1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</row>
    <row r="949" ht="15.75" customHeight="1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</row>
    <row r="950" ht="15.75" customHeight="1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</row>
    <row r="951" ht="15.75" customHeight="1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</row>
    <row r="952" ht="15.75" customHeight="1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</row>
    <row r="953" ht="15.75" customHeight="1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</row>
    <row r="954" ht="15.75" customHeight="1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</row>
    <row r="955" ht="15.75" customHeight="1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</row>
    <row r="956" ht="15.75" customHeight="1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</row>
    <row r="957" ht="15.75" customHeight="1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</row>
    <row r="958" ht="15.75" customHeight="1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</row>
    <row r="959" ht="15.75" customHeight="1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</row>
    <row r="960" ht="15.75" customHeight="1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</row>
    <row r="961" ht="15.75" customHeight="1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</row>
    <row r="962" ht="15.75" customHeight="1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</row>
    <row r="963" ht="15.75" customHeight="1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</row>
    <row r="964" ht="15.75" customHeight="1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</row>
    <row r="965" ht="15.75" customHeight="1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</row>
    <row r="966" ht="15.75" customHeight="1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</row>
    <row r="967" ht="15.75" customHeight="1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</row>
    <row r="968" ht="15.75" customHeight="1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</row>
    <row r="969" ht="15.75" customHeight="1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</row>
    <row r="970" ht="15.75" customHeight="1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</row>
    <row r="971" ht="15.75" customHeight="1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</row>
    <row r="972" ht="15.75" customHeight="1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</row>
    <row r="973" ht="15.75" customHeight="1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</row>
    <row r="974" ht="15.75" customHeight="1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</row>
    <row r="975" ht="15.75" customHeight="1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</row>
    <row r="976" ht="15.75" customHeight="1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</row>
    <row r="977" ht="15.75" customHeight="1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</row>
    <row r="978" ht="15.75" customHeight="1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</row>
    <row r="979" ht="15.75" customHeight="1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</row>
    <row r="980" ht="15.75" customHeight="1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</row>
    <row r="981" ht="15.75" customHeight="1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</row>
    <row r="982" ht="15.75" customHeight="1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</row>
    <row r="983" ht="15.75" customHeight="1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</row>
    <row r="984" ht="15.75" customHeight="1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</row>
    <row r="985" ht="15.75" customHeight="1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</row>
    <row r="986" ht="15.75" customHeight="1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</row>
    <row r="987" ht="15.75" customHeight="1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</row>
    <row r="988" ht="15.75" customHeight="1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</row>
    <row r="989" ht="15.75" customHeight="1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</row>
    <row r="990" ht="15.75" customHeight="1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</row>
    <row r="991" ht="15.75" customHeight="1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</row>
    <row r="992" ht="15.75" customHeight="1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</row>
    <row r="993" ht="15.75" customHeight="1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</row>
    <row r="994" ht="15.75" customHeight="1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</row>
    <row r="995" ht="15.75" customHeight="1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</row>
    <row r="996" ht="15.75" customHeight="1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</row>
    <row r="997" ht="15.75" customHeight="1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</row>
    <row r="998" ht="15.75" customHeight="1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</row>
    <row r="999" ht="15.75" customHeight="1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</row>
    <row r="1000" ht="15.75" customHeight="1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</row>
  </sheetData>
  <mergeCells count="1">
    <mergeCell ref="G1:H7"/>
  </mergeCells>
  <conditionalFormatting sqref="C1:C49 C51:C74 C77:C100 C104:C127 C132:C155 C160:C183 C188:C211 C216:C239 C244:C267 C272:C295 C300:C323 C328:C351 C356:C379 C384:C407 C412:C435 C440:C463 C468:C491">
    <cfRule type="containsText" dxfId="1" priority="1" operator="containsText" text="IN PROGRESS">
      <formula>NOT(ISERROR(SEARCH(("IN PROGRESS"),(C1))))</formula>
    </cfRule>
  </conditionalFormatting>
  <conditionalFormatting sqref="C1:C49 C51:C74 C77:C100 C104:C127 C132:C155 C160:C183 C188:C211 C216:C239 C244:C267 C272:C295 C300:C323 C328:C351 C356:C379 C384:C407 C412:C435 C440:C463 C468:C491">
    <cfRule type="containsText" dxfId="2" priority="2" operator="containsText" text="CANCELLED">
      <formula>NOT(ISERROR(SEARCH(("CANCELLED"),(C1))))</formula>
    </cfRule>
  </conditionalFormatting>
  <conditionalFormatting sqref="C1:C49 C51:C74 C77:C100 C104:C127 C132:C155 C160:C183 C188:C211 C216:C239 C244:C267 C272:C295 C300:C323 C328:C351 C356:C379 C384:C407 C412:C435 C440:C463 C468:C491">
    <cfRule type="containsText" dxfId="3" priority="3" operator="containsText" text="COMPLETED">
      <formula>NOT(ISERROR(SEARCH(("COMPLETED"),(C1))))</formula>
    </cfRule>
  </conditionalFormatting>
  <conditionalFormatting sqref="C50">
    <cfRule type="containsText" dxfId="1" priority="4" operator="containsText" text="IN PROGRESS">
      <formula>NOT(ISERROR(SEARCH(("IN PROGRESS"),(C50))))</formula>
    </cfRule>
  </conditionalFormatting>
  <conditionalFormatting sqref="C50">
    <cfRule type="containsText" dxfId="2" priority="5" operator="containsText" text="CANCELLED">
      <formula>NOT(ISERROR(SEARCH(("CANCELLED"),(C50))))</formula>
    </cfRule>
  </conditionalFormatting>
  <conditionalFormatting sqref="C50">
    <cfRule type="containsText" dxfId="3" priority="6" operator="containsText" text="COMPLETED">
      <formula>NOT(ISERROR(SEARCH(("COMPLETED"),(C50))))</formula>
    </cfRule>
  </conditionalFormatting>
  <conditionalFormatting sqref="C75">
    <cfRule type="containsText" dxfId="1" priority="7" operator="containsText" text="IN PROGRESS">
      <formula>NOT(ISERROR(SEARCH(("IN PROGRESS"),(C75))))</formula>
    </cfRule>
  </conditionalFormatting>
  <conditionalFormatting sqref="C75">
    <cfRule type="containsText" dxfId="2" priority="8" operator="containsText" text="CANCELLED">
      <formula>NOT(ISERROR(SEARCH(("CANCELLED"),(C75))))</formula>
    </cfRule>
  </conditionalFormatting>
  <conditionalFormatting sqref="C75">
    <cfRule type="containsText" dxfId="3" priority="9" operator="containsText" text="COMPLETED">
      <formula>NOT(ISERROR(SEARCH(("COMPLETED"),(C75))))</formula>
    </cfRule>
  </conditionalFormatting>
  <conditionalFormatting sqref="C76">
    <cfRule type="containsText" dxfId="1" priority="10" operator="containsText" text="IN PROGRESS">
      <formula>NOT(ISERROR(SEARCH(("IN PROGRESS"),(C76))))</formula>
    </cfRule>
  </conditionalFormatting>
  <conditionalFormatting sqref="C76">
    <cfRule type="containsText" dxfId="2" priority="11" operator="containsText" text="CANCELLED">
      <formula>NOT(ISERROR(SEARCH(("CANCELLED"),(C76))))</formula>
    </cfRule>
  </conditionalFormatting>
  <conditionalFormatting sqref="C76">
    <cfRule type="containsText" dxfId="3" priority="12" operator="containsText" text="COMPLETED">
      <formula>NOT(ISERROR(SEARCH(("COMPLETED"),(C76))))</formula>
    </cfRule>
  </conditionalFormatting>
  <conditionalFormatting sqref="C103">
    <cfRule type="containsText" dxfId="1" priority="13" operator="containsText" text="IN PROGRESS">
      <formula>NOT(ISERROR(SEARCH(("IN PROGRESS"),(C103))))</formula>
    </cfRule>
  </conditionalFormatting>
  <conditionalFormatting sqref="C103">
    <cfRule type="containsText" dxfId="2" priority="14" operator="containsText" text="CANCELLED">
      <formula>NOT(ISERROR(SEARCH(("CANCELLED"),(C103))))</formula>
    </cfRule>
  </conditionalFormatting>
  <conditionalFormatting sqref="C103">
    <cfRule type="containsText" dxfId="3" priority="15" operator="containsText" text="COMPLETED">
      <formula>NOT(ISERROR(SEARCH(("COMPLETED"),(C103))))</formula>
    </cfRule>
  </conditionalFormatting>
  <conditionalFormatting sqref="C102">
    <cfRule type="containsText" dxfId="1" priority="16" operator="containsText" text="IN PROGRESS">
      <formula>NOT(ISERROR(SEARCH(("IN PROGRESS"),(C102))))</formula>
    </cfRule>
  </conditionalFormatting>
  <conditionalFormatting sqref="C102">
    <cfRule type="containsText" dxfId="2" priority="17" operator="containsText" text="CANCELLED">
      <formula>NOT(ISERROR(SEARCH(("CANCELLED"),(C102))))</formula>
    </cfRule>
  </conditionalFormatting>
  <conditionalFormatting sqref="C102">
    <cfRule type="containsText" dxfId="3" priority="18" operator="containsText" text="COMPLETED">
      <formula>NOT(ISERROR(SEARCH(("COMPLETED"),(C102))))</formula>
    </cfRule>
  </conditionalFormatting>
  <conditionalFormatting sqref="C101">
    <cfRule type="containsText" dxfId="1" priority="19" operator="containsText" text="IN PROGRESS">
      <formula>NOT(ISERROR(SEARCH(("IN PROGRESS"),(C101))))</formula>
    </cfRule>
  </conditionalFormatting>
  <conditionalFormatting sqref="C101">
    <cfRule type="containsText" dxfId="2" priority="20" operator="containsText" text="CANCELLED">
      <formula>NOT(ISERROR(SEARCH(("CANCELLED"),(C101))))</formula>
    </cfRule>
  </conditionalFormatting>
  <conditionalFormatting sqref="C101">
    <cfRule type="containsText" dxfId="3" priority="21" operator="containsText" text="COMPLETED">
      <formula>NOT(ISERROR(SEARCH(("COMPLETED"),(C101))))</formula>
    </cfRule>
  </conditionalFormatting>
  <conditionalFormatting sqref="C159">
    <cfRule type="containsText" dxfId="1" priority="22" operator="containsText" text="IN PROGRESS">
      <formula>NOT(ISERROR(SEARCH(("IN PROGRESS"),(C159))))</formula>
    </cfRule>
  </conditionalFormatting>
  <conditionalFormatting sqref="C159">
    <cfRule type="containsText" dxfId="2" priority="23" operator="containsText" text="CANCELLED">
      <formula>NOT(ISERROR(SEARCH(("CANCELLED"),(C159))))</formula>
    </cfRule>
  </conditionalFormatting>
  <conditionalFormatting sqref="C159">
    <cfRule type="containsText" dxfId="3" priority="24" operator="containsText" text="COMPLETED">
      <formula>NOT(ISERROR(SEARCH(("COMPLETED"),(C159))))</formula>
    </cfRule>
  </conditionalFormatting>
  <conditionalFormatting sqref="C158">
    <cfRule type="containsText" dxfId="1" priority="25" operator="containsText" text="IN PROGRESS">
      <formula>NOT(ISERROR(SEARCH(("IN PROGRESS"),(C158))))</formula>
    </cfRule>
  </conditionalFormatting>
  <conditionalFormatting sqref="C158">
    <cfRule type="containsText" dxfId="2" priority="26" operator="containsText" text="CANCELLED">
      <formula>NOT(ISERROR(SEARCH(("CANCELLED"),(C158))))</formula>
    </cfRule>
  </conditionalFormatting>
  <conditionalFormatting sqref="C158">
    <cfRule type="containsText" dxfId="3" priority="27" operator="containsText" text="COMPLETED">
      <formula>NOT(ISERROR(SEARCH(("COMPLETED"),(C158))))</formula>
    </cfRule>
  </conditionalFormatting>
  <conditionalFormatting sqref="C157">
    <cfRule type="containsText" dxfId="1" priority="28" operator="containsText" text="IN PROGRESS">
      <formula>NOT(ISERROR(SEARCH(("IN PROGRESS"),(C157))))</formula>
    </cfRule>
  </conditionalFormatting>
  <conditionalFormatting sqref="C157">
    <cfRule type="containsText" dxfId="2" priority="29" operator="containsText" text="CANCELLED">
      <formula>NOT(ISERROR(SEARCH(("CANCELLED"),(C157))))</formula>
    </cfRule>
  </conditionalFormatting>
  <conditionalFormatting sqref="C157">
    <cfRule type="containsText" dxfId="3" priority="30" operator="containsText" text="COMPLETED">
      <formula>NOT(ISERROR(SEARCH(("COMPLETED"),(C157))))</formula>
    </cfRule>
  </conditionalFormatting>
  <conditionalFormatting sqref="C156">
    <cfRule type="containsText" dxfId="1" priority="31" operator="containsText" text="IN PROGRESS">
      <formula>NOT(ISERROR(SEARCH(("IN PROGRESS"),(C156))))</formula>
    </cfRule>
  </conditionalFormatting>
  <conditionalFormatting sqref="C156">
    <cfRule type="containsText" dxfId="2" priority="32" operator="containsText" text="CANCELLED">
      <formula>NOT(ISERROR(SEARCH(("CANCELLED"),(C156))))</formula>
    </cfRule>
  </conditionalFormatting>
  <conditionalFormatting sqref="C156">
    <cfRule type="containsText" dxfId="3" priority="33" operator="containsText" text="COMPLETED">
      <formula>NOT(ISERROR(SEARCH(("COMPLETED"),(C156))))</formula>
    </cfRule>
  </conditionalFormatting>
  <conditionalFormatting sqref="C131">
    <cfRule type="containsText" dxfId="1" priority="34" operator="containsText" text="IN PROGRESS">
      <formula>NOT(ISERROR(SEARCH(("IN PROGRESS"),(C131))))</formula>
    </cfRule>
  </conditionalFormatting>
  <conditionalFormatting sqref="C131">
    <cfRule type="containsText" dxfId="2" priority="35" operator="containsText" text="CANCELLED">
      <formula>NOT(ISERROR(SEARCH(("CANCELLED"),(C131))))</formula>
    </cfRule>
  </conditionalFormatting>
  <conditionalFormatting sqref="C131">
    <cfRule type="containsText" dxfId="3" priority="36" operator="containsText" text="COMPLETED">
      <formula>NOT(ISERROR(SEARCH(("COMPLETED"),(C131))))</formula>
    </cfRule>
  </conditionalFormatting>
  <conditionalFormatting sqref="C130">
    <cfRule type="containsText" dxfId="1" priority="37" operator="containsText" text="IN PROGRESS">
      <formula>NOT(ISERROR(SEARCH(("IN PROGRESS"),(C130))))</formula>
    </cfRule>
  </conditionalFormatting>
  <conditionalFormatting sqref="C130">
    <cfRule type="containsText" dxfId="2" priority="38" operator="containsText" text="CANCELLED">
      <formula>NOT(ISERROR(SEARCH(("CANCELLED"),(C130))))</formula>
    </cfRule>
  </conditionalFormatting>
  <conditionalFormatting sqref="C130">
    <cfRule type="containsText" dxfId="3" priority="39" operator="containsText" text="COMPLETED">
      <formula>NOT(ISERROR(SEARCH(("COMPLETED"),(C130))))</formula>
    </cfRule>
  </conditionalFormatting>
  <conditionalFormatting sqref="C129">
    <cfRule type="containsText" dxfId="1" priority="40" operator="containsText" text="IN PROGRESS">
      <formula>NOT(ISERROR(SEARCH(("IN PROGRESS"),(C129))))</formula>
    </cfRule>
  </conditionalFormatting>
  <conditionalFormatting sqref="C129">
    <cfRule type="containsText" dxfId="2" priority="41" operator="containsText" text="CANCELLED">
      <formula>NOT(ISERROR(SEARCH(("CANCELLED"),(C129))))</formula>
    </cfRule>
  </conditionalFormatting>
  <conditionalFormatting sqref="C129">
    <cfRule type="containsText" dxfId="3" priority="42" operator="containsText" text="COMPLETED">
      <formula>NOT(ISERROR(SEARCH(("COMPLETED"),(C129))))</formula>
    </cfRule>
  </conditionalFormatting>
  <conditionalFormatting sqref="C128">
    <cfRule type="containsText" dxfId="1" priority="43" operator="containsText" text="IN PROGRESS">
      <formula>NOT(ISERROR(SEARCH(("IN PROGRESS"),(C128))))</formula>
    </cfRule>
  </conditionalFormatting>
  <conditionalFormatting sqref="C128">
    <cfRule type="containsText" dxfId="2" priority="44" operator="containsText" text="CANCELLED">
      <formula>NOT(ISERROR(SEARCH(("CANCELLED"),(C128))))</formula>
    </cfRule>
  </conditionalFormatting>
  <conditionalFormatting sqref="C128">
    <cfRule type="containsText" dxfId="3" priority="45" operator="containsText" text="COMPLETED">
      <formula>NOT(ISERROR(SEARCH(("COMPLETED"),(C128))))</formula>
    </cfRule>
  </conditionalFormatting>
  <conditionalFormatting sqref="C187">
    <cfRule type="containsText" dxfId="1" priority="46" operator="containsText" text="IN PROGRESS">
      <formula>NOT(ISERROR(SEARCH(("IN PROGRESS"),(C187))))</formula>
    </cfRule>
  </conditionalFormatting>
  <conditionalFormatting sqref="C187">
    <cfRule type="containsText" dxfId="2" priority="47" operator="containsText" text="CANCELLED">
      <formula>NOT(ISERROR(SEARCH(("CANCELLED"),(C187))))</formula>
    </cfRule>
  </conditionalFormatting>
  <conditionalFormatting sqref="C187">
    <cfRule type="containsText" dxfId="3" priority="48" operator="containsText" text="COMPLETED">
      <formula>NOT(ISERROR(SEARCH(("COMPLETED"),(C187))))</formula>
    </cfRule>
  </conditionalFormatting>
  <conditionalFormatting sqref="C186">
    <cfRule type="containsText" dxfId="1" priority="49" operator="containsText" text="IN PROGRESS">
      <formula>NOT(ISERROR(SEARCH(("IN PROGRESS"),(C186))))</formula>
    </cfRule>
  </conditionalFormatting>
  <conditionalFormatting sqref="C186">
    <cfRule type="containsText" dxfId="2" priority="50" operator="containsText" text="CANCELLED">
      <formula>NOT(ISERROR(SEARCH(("CANCELLED"),(C186))))</formula>
    </cfRule>
  </conditionalFormatting>
  <conditionalFormatting sqref="C186">
    <cfRule type="containsText" dxfId="3" priority="51" operator="containsText" text="COMPLETED">
      <formula>NOT(ISERROR(SEARCH(("COMPLETED"),(C186))))</formula>
    </cfRule>
  </conditionalFormatting>
  <conditionalFormatting sqref="C185">
    <cfRule type="containsText" dxfId="1" priority="52" operator="containsText" text="IN PROGRESS">
      <formula>NOT(ISERROR(SEARCH(("IN PROGRESS"),(C185))))</formula>
    </cfRule>
  </conditionalFormatting>
  <conditionalFormatting sqref="C185">
    <cfRule type="containsText" dxfId="2" priority="53" operator="containsText" text="CANCELLED">
      <formula>NOT(ISERROR(SEARCH(("CANCELLED"),(C185))))</formula>
    </cfRule>
  </conditionalFormatting>
  <conditionalFormatting sqref="C185">
    <cfRule type="containsText" dxfId="3" priority="54" operator="containsText" text="COMPLETED">
      <formula>NOT(ISERROR(SEARCH(("COMPLETED"),(C185))))</formula>
    </cfRule>
  </conditionalFormatting>
  <conditionalFormatting sqref="C184">
    <cfRule type="containsText" dxfId="1" priority="55" operator="containsText" text="IN PROGRESS">
      <formula>NOT(ISERROR(SEARCH(("IN PROGRESS"),(C184))))</formula>
    </cfRule>
  </conditionalFormatting>
  <conditionalFormatting sqref="C184">
    <cfRule type="containsText" dxfId="2" priority="56" operator="containsText" text="CANCELLED">
      <formula>NOT(ISERROR(SEARCH(("CANCELLED"),(C184))))</formula>
    </cfRule>
  </conditionalFormatting>
  <conditionalFormatting sqref="C184">
    <cfRule type="containsText" dxfId="3" priority="57" operator="containsText" text="COMPLETED">
      <formula>NOT(ISERROR(SEARCH(("COMPLETED"),(C184))))</formula>
    </cfRule>
  </conditionalFormatting>
  <conditionalFormatting sqref="C215">
    <cfRule type="containsText" dxfId="1" priority="58" operator="containsText" text="IN PROGRESS">
      <formula>NOT(ISERROR(SEARCH(("IN PROGRESS"),(C215))))</formula>
    </cfRule>
  </conditionalFormatting>
  <conditionalFormatting sqref="C215">
    <cfRule type="containsText" dxfId="2" priority="59" operator="containsText" text="CANCELLED">
      <formula>NOT(ISERROR(SEARCH(("CANCELLED"),(C215))))</formula>
    </cfRule>
  </conditionalFormatting>
  <conditionalFormatting sqref="C215">
    <cfRule type="containsText" dxfId="3" priority="60" operator="containsText" text="COMPLETED">
      <formula>NOT(ISERROR(SEARCH(("COMPLETED"),(C215))))</formula>
    </cfRule>
  </conditionalFormatting>
  <conditionalFormatting sqref="C214">
    <cfRule type="containsText" dxfId="1" priority="61" operator="containsText" text="IN PROGRESS">
      <formula>NOT(ISERROR(SEARCH(("IN PROGRESS"),(C214))))</formula>
    </cfRule>
  </conditionalFormatting>
  <conditionalFormatting sqref="C214">
    <cfRule type="containsText" dxfId="2" priority="62" operator="containsText" text="CANCELLED">
      <formula>NOT(ISERROR(SEARCH(("CANCELLED"),(C214))))</formula>
    </cfRule>
  </conditionalFormatting>
  <conditionalFormatting sqref="C214">
    <cfRule type="containsText" dxfId="3" priority="63" operator="containsText" text="COMPLETED">
      <formula>NOT(ISERROR(SEARCH(("COMPLETED"),(C214))))</formula>
    </cfRule>
  </conditionalFormatting>
  <conditionalFormatting sqref="C213">
    <cfRule type="containsText" dxfId="1" priority="64" operator="containsText" text="IN PROGRESS">
      <formula>NOT(ISERROR(SEARCH(("IN PROGRESS"),(C213))))</formula>
    </cfRule>
  </conditionalFormatting>
  <conditionalFormatting sqref="C213">
    <cfRule type="containsText" dxfId="2" priority="65" operator="containsText" text="CANCELLED">
      <formula>NOT(ISERROR(SEARCH(("CANCELLED"),(C213))))</formula>
    </cfRule>
  </conditionalFormatting>
  <conditionalFormatting sqref="C213">
    <cfRule type="containsText" dxfId="3" priority="66" operator="containsText" text="COMPLETED">
      <formula>NOT(ISERROR(SEARCH(("COMPLETED"),(C213))))</formula>
    </cfRule>
  </conditionalFormatting>
  <conditionalFormatting sqref="C212">
    <cfRule type="containsText" dxfId="1" priority="67" operator="containsText" text="IN PROGRESS">
      <formula>NOT(ISERROR(SEARCH(("IN PROGRESS"),(C212))))</formula>
    </cfRule>
  </conditionalFormatting>
  <conditionalFormatting sqref="C212">
    <cfRule type="containsText" dxfId="2" priority="68" operator="containsText" text="CANCELLED">
      <formula>NOT(ISERROR(SEARCH(("CANCELLED"),(C212))))</formula>
    </cfRule>
  </conditionalFormatting>
  <conditionalFormatting sqref="C212">
    <cfRule type="containsText" dxfId="3" priority="69" operator="containsText" text="COMPLETED">
      <formula>NOT(ISERROR(SEARCH(("COMPLETED"),(C212))))</formula>
    </cfRule>
  </conditionalFormatting>
  <conditionalFormatting sqref="C243">
    <cfRule type="containsText" dxfId="1" priority="70" operator="containsText" text="IN PROGRESS">
      <formula>NOT(ISERROR(SEARCH(("IN PROGRESS"),(C243))))</formula>
    </cfRule>
  </conditionalFormatting>
  <conditionalFormatting sqref="C243">
    <cfRule type="containsText" dxfId="2" priority="71" operator="containsText" text="CANCELLED">
      <formula>NOT(ISERROR(SEARCH(("CANCELLED"),(C243))))</formula>
    </cfRule>
  </conditionalFormatting>
  <conditionalFormatting sqref="C243">
    <cfRule type="containsText" dxfId="3" priority="72" operator="containsText" text="COMPLETED">
      <formula>NOT(ISERROR(SEARCH(("COMPLETED"),(C243))))</formula>
    </cfRule>
  </conditionalFormatting>
  <conditionalFormatting sqref="C242">
    <cfRule type="containsText" dxfId="1" priority="73" operator="containsText" text="IN PROGRESS">
      <formula>NOT(ISERROR(SEARCH(("IN PROGRESS"),(C242))))</formula>
    </cfRule>
  </conditionalFormatting>
  <conditionalFormatting sqref="C242">
    <cfRule type="containsText" dxfId="2" priority="74" operator="containsText" text="CANCELLED">
      <formula>NOT(ISERROR(SEARCH(("CANCELLED"),(C242))))</formula>
    </cfRule>
  </conditionalFormatting>
  <conditionalFormatting sqref="C242">
    <cfRule type="containsText" dxfId="3" priority="75" operator="containsText" text="COMPLETED">
      <formula>NOT(ISERROR(SEARCH(("COMPLETED"),(C242))))</formula>
    </cfRule>
  </conditionalFormatting>
  <conditionalFormatting sqref="C241">
    <cfRule type="containsText" dxfId="1" priority="76" operator="containsText" text="IN PROGRESS">
      <formula>NOT(ISERROR(SEARCH(("IN PROGRESS"),(C241))))</formula>
    </cfRule>
  </conditionalFormatting>
  <conditionalFormatting sqref="C241">
    <cfRule type="containsText" dxfId="2" priority="77" operator="containsText" text="CANCELLED">
      <formula>NOT(ISERROR(SEARCH(("CANCELLED"),(C241))))</formula>
    </cfRule>
  </conditionalFormatting>
  <conditionalFormatting sqref="C241">
    <cfRule type="containsText" dxfId="3" priority="78" operator="containsText" text="COMPLETED">
      <formula>NOT(ISERROR(SEARCH(("COMPLETED"),(C241))))</formula>
    </cfRule>
  </conditionalFormatting>
  <conditionalFormatting sqref="C240">
    <cfRule type="containsText" dxfId="1" priority="79" operator="containsText" text="IN PROGRESS">
      <formula>NOT(ISERROR(SEARCH(("IN PROGRESS"),(C240))))</formula>
    </cfRule>
  </conditionalFormatting>
  <conditionalFormatting sqref="C240">
    <cfRule type="containsText" dxfId="2" priority="80" operator="containsText" text="CANCELLED">
      <formula>NOT(ISERROR(SEARCH(("CANCELLED"),(C240))))</formula>
    </cfRule>
  </conditionalFormatting>
  <conditionalFormatting sqref="C240">
    <cfRule type="containsText" dxfId="3" priority="81" operator="containsText" text="COMPLETED">
      <formula>NOT(ISERROR(SEARCH(("COMPLETED"),(C240))))</formula>
    </cfRule>
  </conditionalFormatting>
  <conditionalFormatting sqref="C271">
    <cfRule type="containsText" dxfId="1" priority="82" operator="containsText" text="IN PROGRESS">
      <formula>NOT(ISERROR(SEARCH(("IN PROGRESS"),(C271))))</formula>
    </cfRule>
  </conditionalFormatting>
  <conditionalFormatting sqref="C271">
    <cfRule type="containsText" dxfId="2" priority="83" operator="containsText" text="CANCELLED">
      <formula>NOT(ISERROR(SEARCH(("CANCELLED"),(C271))))</formula>
    </cfRule>
  </conditionalFormatting>
  <conditionalFormatting sqref="C271">
    <cfRule type="containsText" dxfId="3" priority="84" operator="containsText" text="COMPLETED">
      <formula>NOT(ISERROR(SEARCH(("COMPLETED"),(C271))))</formula>
    </cfRule>
  </conditionalFormatting>
  <conditionalFormatting sqref="C270">
    <cfRule type="containsText" dxfId="1" priority="85" operator="containsText" text="IN PROGRESS">
      <formula>NOT(ISERROR(SEARCH(("IN PROGRESS"),(C270))))</formula>
    </cfRule>
  </conditionalFormatting>
  <conditionalFormatting sqref="C270">
    <cfRule type="containsText" dxfId="2" priority="86" operator="containsText" text="CANCELLED">
      <formula>NOT(ISERROR(SEARCH(("CANCELLED"),(C270))))</formula>
    </cfRule>
  </conditionalFormatting>
  <conditionalFormatting sqref="C270">
    <cfRule type="containsText" dxfId="3" priority="87" operator="containsText" text="COMPLETED">
      <formula>NOT(ISERROR(SEARCH(("COMPLETED"),(C270))))</formula>
    </cfRule>
  </conditionalFormatting>
  <conditionalFormatting sqref="C269">
    <cfRule type="containsText" dxfId="1" priority="88" operator="containsText" text="IN PROGRESS">
      <formula>NOT(ISERROR(SEARCH(("IN PROGRESS"),(C269))))</formula>
    </cfRule>
  </conditionalFormatting>
  <conditionalFormatting sqref="C269">
    <cfRule type="containsText" dxfId="2" priority="89" operator="containsText" text="CANCELLED">
      <formula>NOT(ISERROR(SEARCH(("CANCELLED"),(C269))))</formula>
    </cfRule>
  </conditionalFormatting>
  <conditionalFormatting sqref="C269">
    <cfRule type="containsText" dxfId="3" priority="90" operator="containsText" text="COMPLETED">
      <formula>NOT(ISERROR(SEARCH(("COMPLETED"),(C269))))</formula>
    </cfRule>
  </conditionalFormatting>
  <conditionalFormatting sqref="C268">
    <cfRule type="containsText" dxfId="1" priority="91" operator="containsText" text="IN PROGRESS">
      <formula>NOT(ISERROR(SEARCH(("IN PROGRESS"),(C268))))</formula>
    </cfRule>
  </conditionalFormatting>
  <conditionalFormatting sqref="C268">
    <cfRule type="containsText" dxfId="2" priority="92" operator="containsText" text="CANCELLED">
      <formula>NOT(ISERROR(SEARCH(("CANCELLED"),(C268))))</formula>
    </cfRule>
  </conditionalFormatting>
  <conditionalFormatting sqref="C268">
    <cfRule type="containsText" dxfId="3" priority="93" operator="containsText" text="COMPLETED">
      <formula>NOT(ISERROR(SEARCH(("COMPLETED"),(C268))))</formula>
    </cfRule>
  </conditionalFormatting>
  <conditionalFormatting sqref="C299">
    <cfRule type="containsText" dxfId="1" priority="94" operator="containsText" text="IN PROGRESS">
      <formula>NOT(ISERROR(SEARCH(("IN PROGRESS"),(C299))))</formula>
    </cfRule>
  </conditionalFormatting>
  <conditionalFormatting sqref="C299">
    <cfRule type="containsText" dxfId="2" priority="95" operator="containsText" text="CANCELLED">
      <formula>NOT(ISERROR(SEARCH(("CANCELLED"),(C299))))</formula>
    </cfRule>
  </conditionalFormatting>
  <conditionalFormatting sqref="C299">
    <cfRule type="containsText" dxfId="3" priority="96" operator="containsText" text="COMPLETED">
      <formula>NOT(ISERROR(SEARCH(("COMPLETED"),(C299))))</formula>
    </cfRule>
  </conditionalFormatting>
  <conditionalFormatting sqref="C298">
    <cfRule type="containsText" dxfId="1" priority="97" operator="containsText" text="IN PROGRESS">
      <formula>NOT(ISERROR(SEARCH(("IN PROGRESS"),(C298))))</formula>
    </cfRule>
  </conditionalFormatting>
  <conditionalFormatting sqref="C298">
    <cfRule type="containsText" dxfId="2" priority="98" operator="containsText" text="CANCELLED">
      <formula>NOT(ISERROR(SEARCH(("CANCELLED"),(C298))))</formula>
    </cfRule>
  </conditionalFormatting>
  <conditionalFormatting sqref="C298">
    <cfRule type="containsText" dxfId="3" priority="99" operator="containsText" text="COMPLETED">
      <formula>NOT(ISERROR(SEARCH(("COMPLETED"),(C298))))</formula>
    </cfRule>
  </conditionalFormatting>
  <conditionalFormatting sqref="C297">
    <cfRule type="containsText" dxfId="1" priority="100" operator="containsText" text="IN PROGRESS">
      <formula>NOT(ISERROR(SEARCH(("IN PROGRESS"),(C297))))</formula>
    </cfRule>
  </conditionalFormatting>
  <conditionalFormatting sqref="C297">
    <cfRule type="containsText" dxfId="2" priority="101" operator="containsText" text="CANCELLED">
      <formula>NOT(ISERROR(SEARCH(("CANCELLED"),(C297))))</formula>
    </cfRule>
  </conditionalFormatting>
  <conditionalFormatting sqref="C297">
    <cfRule type="containsText" dxfId="3" priority="102" operator="containsText" text="COMPLETED">
      <formula>NOT(ISERROR(SEARCH(("COMPLETED"),(C297))))</formula>
    </cfRule>
  </conditionalFormatting>
  <conditionalFormatting sqref="C296">
    <cfRule type="containsText" dxfId="1" priority="103" operator="containsText" text="IN PROGRESS">
      <formula>NOT(ISERROR(SEARCH(("IN PROGRESS"),(C296))))</formula>
    </cfRule>
  </conditionalFormatting>
  <conditionalFormatting sqref="C296">
    <cfRule type="containsText" dxfId="2" priority="104" operator="containsText" text="CANCELLED">
      <formula>NOT(ISERROR(SEARCH(("CANCELLED"),(C296))))</formula>
    </cfRule>
  </conditionalFormatting>
  <conditionalFormatting sqref="C296">
    <cfRule type="containsText" dxfId="3" priority="105" operator="containsText" text="COMPLETED">
      <formula>NOT(ISERROR(SEARCH(("COMPLETED"),(C296))))</formula>
    </cfRule>
  </conditionalFormatting>
  <conditionalFormatting sqref="C327">
    <cfRule type="containsText" dxfId="1" priority="106" operator="containsText" text="IN PROGRESS">
      <formula>NOT(ISERROR(SEARCH(("IN PROGRESS"),(C327))))</formula>
    </cfRule>
  </conditionalFormatting>
  <conditionalFormatting sqref="C327">
    <cfRule type="containsText" dxfId="2" priority="107" operator="containsText" text="CANCELLED">
      <formula>NOT(ISERROR(SEARCH(("CANCELLED"),(C327))))</formula>
    </cfRule>
  </conditionalFormatting>
  <conditionalFormatting sqref="C327">
    <cfRule type="containsText" dxfId="3" priority="108" operator="containsText" text="COMPLETED">
      <formula>NOT(ISERROR(SEARCH(("COMPLETED"),(C327))))</formula>
    </cfRule>
  </conditionalFormatting>
  <conditionalFormatting sqref="C326">
    <cfRule type="containsText" dxfId="1" priority="109" operator="containsText" text="IN PROGRESS">
      <formula>NOT(ISERROR(SEARCH(("IN PROGRESS"),(C326))))</formula>
    </cfRule>
  </conditionalFormatting>
  <conditionalFormatting sqref="C326">
    <cfRule type="containsText" dxfId="2" priority="110" operator="containsText" text="CANCELLED">
      <formula>NOT(ISERROR(SEARCH(("CANCELLED"),(C326))))</formula>
    </cfRule>
  </conditionalFormatting>
  <conditionalFormatting sqref="C326">
    <cfRule type="containsText" dxfId="3" priority="111" operator="containsText" text="COMPLETED">
      <formula>NOT(ISERROR(SEARCH(("COMPLETED"),(C326))))</formula>
    </cfRule>
  </conditionalFormatting>
  <conditionalFormatting sqref="C325">
    <cfRule type="containsText" dxfId="1" priority="112" operator="containsText" text="IN PROGRESS">
      <formula>NOT(ISERROR(SEARCH(("IN PROGRESS"),(C325))))</formula>
    </cfRule>
  </conditionalFormatting>
  <conditionalFormatting sqref="C325">
    <cfRule type="containsText" dxfId="2" priority="113" operator="containsText" text="CANCELLED">
      <formula>NOT(ISERROR(SEARCH(("CANCELLED"),(C325))))</formula>
    </cfRule>
  </conditionalFormatting>
  <conditionalFormatting sqref="C325">
    <cfRule type="containsText" dxfId="3" priority="114" operator="containsText" text="COMPLETED">
      <formula>NOT(ISERROR(SEARCH(("COMPLETED"),(C325))))</formula>
    </cfRule>
  </conditionalFormatting>
  <conditionalFormatting sqref="C324">
    <cfRule type="containsText" dxfId="1" priority="115" operator="containsText" text="IN PROGRESS">
      <formula>NOT(ISERROR(SEARCH(("IN PROGRESS"),(C324))))</formula>
    </cfRule>
  </conditionalFormatting>
  <conditionalFormatting sqref="C324">
    <cfRule type="containsText" dxfId="2" priority="116" operator="containsText" text="CANCELLED">
      <formula>NOT(ISERROR(SEARCH(("CANCELLED"),(C324))))</formula>
    </cfRule>
  </conditionalFormatting>
  <conditionalFormatting sqref="C324">
    <cfRule type="containsText" dxfId="3" priority="117" operator="containsText" text="COMPLETED">
      <formula>NOT(ISERROR(SEARCH(("COMPLETED"),(C324))))</formula>
    </cfRule>
  </conditionalFormatting>
  <conditionalFormatting sqref="C355">
    <cfRule type="containsText" dxfId="1" priority="118" operator="containsText" text="IN PROGRESS">
      <formula>NOT(ISERROR(SEARCH(("IN PROGRESS"),(C355))))</formula>
    </cfRule>
  </conditionalFormatting>
  <conditionalFormatting sqref="C355">
    <cfRule type="containsText" dxfId="2" priority="119" operator="containsText" text="CANCELLED">
      <formula>NOT(ISERROR(SEARCH(("CANCELLED"),(C355))))</formula>
    </cfRule>
  </conditionalFormatting>
  <conditionalFormatting sqref="C355">
    <cfRule type="containsText" dxfId="3" priority="120" operator="containsText" text="COMPLETED">
      <formula>NOT(ISERROR(SEARCH(("COMPLETED"),(C355))))</formula>
    </cfRule>
  </conditionalFormatting>
  <conditionalFormatting sqref="C354">
    <cfRule type="containsText" dxfId="1" priority="121" operator="containsText" text="IN PROGRESS">
      <formula>NOT(ISERROR(SEARCH(("IN PROGRESS"),(C354))))</formula>
    </cfRule>
  </conditionalFormatting>
  <conditionalFormatting sqref="C354">
    <cfRule type="containsText" dxfId="2" priority="122" operator="containsText" text="CANCELLED">
      <formula>NOT(ISERROR(SEARCH(("CANCELLED"),(C354))))</formula>
    </cfRule>
  </conditionalFormatting>
  <conditionalFormatting sqref="C354">
    <cfRule type="containsText" dxfId="3" priority="123" operator="containsText" text="COMPLETED">
      <formula>NOT(ISERROR(SEARCH(("COMPLETED"),(C354))))</formula>
    </cfRule>
  </conditionalFormatting>
  <conditionalFormatting sqref="C353">
    <cfRule type="containsText" dxfId="1" priority="124" operator="containsText" text="IN PROGRESS">
      <formula>NOT(ISERROR(SEARCH(("IN PROGRESS"),(C353))))</formula>
    </cfRule>
  </conditionalFormatting>
  <conditionalFormatting sqref="C353">
    <cfRule type="containsText" dxfId="2" priority="125" operator="containsText" text="CANCELLED">
      <formula>NOT(ISERROR(SEARCH(("CANCELLED"),(C353))))</formula>
    </cfRule>
  </conditionalFormatting>
  <conditionalFormatting sqref="C353">
    <cfRule type="containsText" dxfId="3" priority="126" operator="containsText" text="COMPLETED">
      <formula>NOT(ISERROR(SEARCH(("COMPLETED"),(C353))))</formula>
    </cfRule>
  </conditionalFormatting>
  <conditionalFormatting sqref="C352">
    <cfRule type="containsText" dxfId="1" priority="127" operator="containsText" text="IN PROGRESS">
      <formula>NOT(ISERROR(SEARCH(("IN PROGRESS"),(C352))))</formula>
    </cfRule>
  </conditionalFormatting>
  <conditionalFormatting sqref="C352">
    <cfRule type="containsText" dxfId="2" priority="128" operator="containsText" text="CANCELLED">
      <formula>NOT(ISERROR(SEARCH(("CANCELLED"),(C352))))</formula>
    </cfRule>
  </conditionalFormatting>
  <conditionalFormatting sqref="C352">
    <cfRule type="containsText" dxfId="3" priority="129" operator="containsText" text="COMPLETED">
      <formula>NOT(ISERROR(SEARCH(("COMPLETED"),(C352))))</formula>
    </cfRule>
  </conditionalFormatting>
  <conditionalFormatting sqref="C383">
    <cfRule type="containsText" dxfId="1" priority="130" operator="containsText" text="IN PROGRESS">
      <formula>NOT(ISERROR(SEARCH(("IN PROGRESS"),(C383))))</formula>
    </cfRule>
  </conditionalFormatting>
  <conditionalFormatting sqref="C383">
    <cfRule type="containsText" dxfId="2" priority="131" operator="containsText" text="CANCELLED">
      <formula>NOT(ISERROR(SEARCH(("CANCELLED"),(C383))))</formula>
    </cfRule>
  </conditionalFormatting>
  <conditionalFormatting sqref="C383">
    <cfRule type="containsText" dxfId="3" priority="132" operator="containsText" text="COMPLETED">
      <formula>NOT(ISERROR(SEARCH(("COMPLETED"),(C383))))</formula>
    </cfRule>
  </conditionalFormatting>
  <conditionalFormatting sqref="C382">
    <cfRule type="containsText" dxfId="1" priority="133" operator="containsText" text="IN PROGRESS">
      <formula>NOT(ISERROR(SEARCH(("IN PROGRESS"),(C382))))</formula>
    </cfRule>
  </conditionalFormatting>
  <conditionalFormatting sqref="C382">
    <cfRule type="containsText" dxfId="2" priority="134" operator="containsText" text="CANCELLED">
      <formula>NOT(ISERROR(SEARCH(("CANCELLED"),(C382))))</formula>
    </cfRule>
  </conditionalFormatting>
  <conditionalFormatting sqref="C382">
    <cfRule type="containsText" dxfId="3" priority="135" operator="containsText" text="COMPLETED">
      <formula>NOT(ISERROR(SEARCH(("COMPLETED"),(C382))))</formula>
    </cfRule>
  </conditionalFormatting>
  <conditionalFormatting sqref="C381">
    <cfRule type="containsText" dxfId="1" priority="136" operator="containsText" text="IN PROGRESS">
      <formula>NOT(ISERROR(SEARCH(("IN PROGRESS"),(C381))))</formula>
    </cfRule>
  </conditionalFormatting>
  <conditionalFormatting sqref="C381">
    <cfRule type="containsText" dxfId="2" priority="137" operator="containsText" text="CANCELLED">
      <formula>NOT(ISERROR(SEARCH(("CANCELLED"),(C381))))</formula>
    </cfRule>
  </conditionalFormatting>
  <conditionalFormatting sqref="C381">
    <cfRule type="containsText" dxfId="3" priority="138" operator="containsText" text="COMPLETED">
      <formula>NOT(ISERROR(SEARCH(("COMPLETED"),(C381))))</formula>
    </cfRule>
  </conditionalFormatting>
  <conditionalFormatting sqref="C380">
    <cfRule type="containsText" dxfId="1" priority="139" operator="containsText" text="IN PROGRESS">
      <formula>NOT(ISERROR(SEARCH(("IN PROGRESS"),(C380))))</formula>
    </cfRule>
  </conditionalFormatting>
  <conditionalFormatting sqref="C380">
    <cfRule type="containsText" dxfId="2" priority="140" operator="containsText" text="CANCELLED">
      <formula>NOT(ISERROR(SEARCH(("CANCELLED"),(C380))))</formula>
    </cfRule>
  </conditionalFormatting>
  <conditionalFormatting sqref="C380">
    <cfRule type="containsText" dxfId="3" priority="141" operator="containsText" text="COMPLETED">
      <formula>NOT(ISERROR(SEARCH(("COMPLETED"),(C380))))</formula>
    </cfRule>
  </conditionalFormatting>
  <conditionalFormatting sqref="C411">
    <cfRule type="containsText" dxfId="1" priority="142" operator="containsText" text="IN PROGRESS">
      <formula>NOT(ISERROR(SEARCH(("IN PROGRESS"),(C411))))</formula>
    </cfRule>
  </conditionalFormatting>
  <conditionalFormatting sqref="C411">
    <cfRule type="containsText" dxfId="2" priority="143" operator="containsText" text="CANCELLED">
      <formula>NOT(ISERROR(SEARCH(("CANCELLED"),(C411))))</formula>
    </cfRule>
  </conditionalFormatting>
  <conditionalFormatting sqref="C411">
    <cfRule type="containsText" dxfId="3" priority="144" operator="containsText" text="COMPLETED">
      <formula>NOT(ISERROR(SEARCH(("COMPLETED"),(C411))))</formula>
    </cfRule>
  </conditionalFormatting>
  <conditionalFormatting sqref="C410">
    <cfRule type="containsText" dxfId="1" priority="145" operator="containsText" text="IN PROGRESS">
      <formula>NOT(ISERROR(SEARCH(("IN PROGRESS"),(C410))))</formula>
    </cfRule>
  </conditionalFormatting>
  <conditionalFormatting sqref="C410">
    <cfRule type="containsText" dxfId="2" priority="146" operator="containsText" text="CANCELLED">
      <formula>NOT(ISERROR(SEARCH(("CANCELLED"),(C410))))</formula>
    </cfRule>
  </conditionalFormatting>
  <conditionalFormatting sqref="C410">
    <cfRule type="containsText" dxfId="3" priority="147" operator="containsText" text="COMPLETED">
      <formula>NOT(ISERROR(SEARCH(("COMPLETED"),(C410))))</formula>
    </cfRule>
  </conditionalFormatting>
  <conditionalFormatting sqref="C409">
    <cfRule type="containsText" dxfId="1" priority="148" operator="containsText" text="IN PROGRESS">
      <formula>NOT(ISERROR(SEARCH(("IN PROGRESS"),(C409))))</formula>
    </cfRule>
  </conditionalFormatting>
  <conditionalFormatting sqref="C409">
    <cfRule type="containsText" dxfId="2" priority="149" operator="containsText" text="CANCELLED">
      <formula>NOT(ISERROR(SEARCH(("CANCELLED"),(C409))))</formula>
    </cfRule>
  </conditionalFormatting>
  <conditionalFormatting sqref="C409">
    <cfRule type="containsText" dxfId="3" priority="150" operator="containsText" text="COMPLETED">
      <formula>NOT(ISERROR(SEARCH(("COMPLETED"),(C409))))</formula>
    </cfRule>
  </conditionalFormatting>
  <conditionalFormatting sqref="C408">
    <cfRule type="containsText" dxfId="1" priority="151" operator="containsText" text="IN PROGRESS">
      <formula>NOT(ISERROR(SEARCH(("IN PROGRESS"),(C408))))</formula>
    </cfRule>
  </conditionalFormatting>
  <conditionalFormatting sqref="C408">
    <cfRule type="containsText" dxfId="2" priority="152" operator="containsText" text="CANCELLED">
      <formula>NOT(ISERROR(SEARCH(("CANCELLED"),(C408))))</formula>
    </cfRule>
  </conditionalFormatting>
  <conditionalFormatting sqref="C408">
    <cfRule type="containsText" dxfId="3" priority="153" operator="containsText" text="COMPLETED">
      <formula>NOT(ISERROR(SEARCH(("COMPLETED"),(C408))))</formula>
    </cfRule>
  </conditionalFormatting>
  <conditionalFormatting sqref="C439">
    <cfRule type="containsText" dxfId="1" priority="154" operator="containsText" text="IN PROGRESS">
      <formula>NOT(ISERROR(SEARCH(("IN PROGRESS"),(C439))))</formula>
    </cfRule>
  </conditionalFormatting>
  <conditionalFormatting sqref="C439">
    <cfRule type="containsText" dxfId="2" priority="155" operator="containsText" text="CANCELLED">
      <formula>NOT(ISERROR(SEARCH(("CANCELLED"),(C439))))</formula>
    </cfRule>
  </conditionalFormatting>
  <conditionalFormatting sqref="C439">
    <cfRule type="containsText" dxfId="3" priority="156" operator="containsText" text="COMPLETED">
      <formula>NOT(ISERROR(SEARCH(("COMPLETED"),(C439))))</formula>
    </cfRule>
  </conditionalFormatting>
  <conditionalFormatting sqref="C438">
    <cfRule type="containsText" dxfId="1" priority="157" operator="containsText" text="IN PROGRESS">
      <formula>NOT(ISERROR(SEARCH(("IN PROGRESS"),(C438))))</formula>
    </cfRule>
  </conditionalFormatting>
  <conditionalFormatting sqref="C438">
    <cfRule type="containsText" dxfId="2" priority="158" operator="containsText" text="CANCELLED">
      <formula>NOT(ISERROR(SEARCH(("CANCELLED"),(C438))))</formula>
    </cfRule>
  </conditionalFormatting>
  <conditionalFormatting sqref="C438">
    <cfRule type="containsText" dxfId="3" priority="159" operator="containsText" text="COMPLETED">
      <formula>NOT(ISERROR(SEARCH(("COMPLETED"),(C438))))</formula>
    </cfRule>
  </conditionalFormatting>
  <conditionalFormatting sqref="C437">
    <cfRule type="containsText" dxfId="1" priority="160" operator="containsText" text="IN PROGRESS">
      <formula>NOT(ISERROR(SEARCH(("IN PROGRESS"),(C437))))</formula>
    </cfRule>
  </conditionalFormatting>
  <conditionalFormatting sqref="C437">
    <cfRule type="containsText" dxfId="2" priority="161" operator="containsText" text="CANCELLED">
      <formula>NOT(ISERROR(SEARCH(("CANCELLED"),(C437))))</formula>
    </cfRule>
  </conditionalFormatting>
  <conditionalFormatting sqref="C437">
    <cfRule type="containsText" dxfId="3" priority="162" operator="containsText" text="COMPLETED">
      <formula>NOT(ISERROR(SEARCH(("COMPLETED"),(C437))))</formula>
    </cfRule>
  </conditionalFormatting>
  <conditionalFormatting sqref="C436">
    <cfRule type="containsText" dxfId="1" priority="163" operator="containsText" text="IN PROGRESS">
      <formula>NOT(ISERROR(SEARCH(("IN PROGRESS"),(C436))))</formula>
    </cfRule>
  </conditionalFormatting>
  <conditionalFormatting sqref="C436">
    <cfRule type="containsText" dxfId="2" priority="164" operator="containsText" text="CANCELLED">
      <formula>NOT(ISERROR(SEARCH(("CANCELLED"),(C436))))</formula>
    </cfRule>
  </conditionalFormatting>
  <conditionalFormatting sqref="C436">
    <cfRule type="containsText" dxfId="3" priority="165" operator="containsText" text="COMPLETED">
      <formula>NOT(ISERROR(SEARCH(("COMPLETED"),(C436))))</formula>
    </cfRule>
  </conditionalFormatting>
  <conditionalFormatting sqref="C467">
    <cfRule type="containsText" dxfId="1" priority="166" operator="containsText" text="IN PROGRESS">
      <formula>NOT(ISERROR(SEARCH(("IN PROGRESS"),(C467))))</formula>
    </cfRule>
  </conditionalFormatting>
  <conditionalFormatting sqref="C467">
    <cfRule type="containsText" dxfId="2" priority="167" operator="containsText" text="CANCELLED">
      <formula>NOT(ISERROR(SEARCH(("CANCELLED"),(C467))))</formula>
    </cfRule>
  </conditionalFormatting>
  <conditionalFormatting sqref="C467">
    <cfRule type="containsText" dxfId="3" priority="168" operator="containsText" text="COMPLETED">
      <formula>NOT(ISERROR(SEARCH(("COMPLETED"),(C467))))</formula>
    </cfRule>
  </conditionalFormatting>
  <conditionalFormatting sqref="C466">
    <cfRule type="containsText" dxfId="1" priority="169" operator="containsText" text="IN PROGRESS">
      <formula>NOT(ISERROR(SEARCH(("IN PROGRESS"),(C466))))</formula>
    </cfRule>
  </conditionalFormatting>
  <conditionalFormatting sqref="C466">
    <cfRule type="containsText" dxfId="2" priority="170" operator="containsText" text="CANCELLED">
      <formula>NOT(ISERROR(SEARCH(("CANCELLED"),(C466))))</formula>
    </cfRule>
  </conditionalFormatting>
  <conditionalFormatting sqref="C466">
    <cfRule type="containsText" dxfId="3" priority="171" operator="containsText" text="COMPLETED">
      <formula>NOT(ISERROR(SEARCH(("COMPLETED"),(C466))))</formula>
    </cfRule>
  </conditionalFormatting>
  <conditionalFormatting sqref="C465">
    <cfRule type="containsText" dxfId="1" priority="172" operator="containsText" text="IN PROGRESS">
      <formula>NOT(ISERROR(SEARCH(("IN PROGRESS"),(C465))))</formula>
    </cfRule>
  </conditionalFormatting>
  <conditionalFormatting sqref="C465">
    <cfRule type="containsText" dxfId="2" priority="173" operator="containsText" text="CANCELLED">
      <formula>NOT(ISERROR(SEARCH(("CANCELLED"),(C465))))</formula>
    </cfRule>
  </conditionalFormatting>
  <conditionalFormatting sqref="C465">
    <cfRule type="containsText" dxfId="3" priority="174" operator="containsText" text="COMPLETED">
      <formula>NOT(ISERROR(SEARCH(("COMPLETED"),(C465))))</formula>
    </cfRule>
  </conditionalFormatting>
  <conditionalFormatting sqref="C464">
    <cfRule type="containsText" dxfId="1" priority="175" operator="containsText" text="IN PROGRESS">
      <formula>NOT(ISERROR(SEARCH(("IN PROGRESS"),(C464))))</formula>
    </cfRule>
  </conditionalFormatting>
  <conditionalFormatting sqref="C464">
    <cfRule type="containsText" dxfId="2" priority="176" operator="containsText" text="CANCELLED">
      <formula>NOT(ISERROR(SEARCH(("CANCELLED"),(C464))))</formula>
    </cfRule>
  </conditionalFormatting>
  <conditionalFormatting sqref="C464">
    <cfRule type="containsText" dxfId="3" priority="177" operator="containsText" text="COMPLETED">
      <formula>NOT(ISERROR(SEARCH(("COMPLETED"),(C464))))</formula>
    </cfRule>
  </conditionalFormatting>
  <conditionalFormatting sqref="C496:C519">
    <cfRule type="containsText" dxfId="1" priority="178" operator="containsText" text="IN PROGRESS">
      <formula>NOT(ISERROR(SEARCH(("IN PROGRESS"),(C496))))</formula>
    </cfRule>
  </conditionalFormatting>
  <conditionalFormatting sqref="C496:C519">
    <cfRule type="containsText" dxfId="2" priority="179" operator="containsText" text="CANCELLED">
      <formula>NOT(ISERROR(SEARCH(("CANCELLED"),(C496))))</formula>
    </cfRule>
  </conditionalFormatting>
  <conditionalFormatting sqref="C496:C519">
    <cfRule type="containsText" dxfId="3" priority="180" operator="containsText" text="COMPLETED">
      <formula>NOT(ISERROR(SEARCH(("COMPLETED"),(C496))))</formula>
    </cfRule>
  </conditionalFormatting>
  <conditionalFormatting sqref="C495">
    <cfRule type="containsText" dxfId="1" priority="181" operator="containsText" text="IN PROGRESS">
      <formula>NOT(ISERROR(SEARCH(("IN PROGRESS"),(C495))))</formula>
    </cfRule>
  </conditionalFormatting>
  <conditionalFormatting sqref="C495">
    <cfRule type="containsText" dxfId="2" priority="182" operator="containsText" text="CANCELLED">
      <formula>NOT(ISERROR(SEARCH(("CANCELLED"),(C495))))</formula>
    </cfRule>
  </conditionalFormatting>
  <conditionalFormatting sqref="C495">
    <cfRule type="containsText" dxfId="3" priority="183" operator="containsText" text="COMPLETED">
      <formula>NOT(ISERROR(SEARCH(("COMPLETED"),(C495))))</formula>
    </cfRule>
  </conditionalFormatting>
  <conditionalFormatting sqref="C494">
    <cfRule type="containsText" dxfId="1" priority="184" operator="containsText" text="IN PROGRESS">
      <formula>NOT(ISERROR(SEARCH(("IN PROGRESS"),(C494))))</formula>
    </cfRule>
  </conditionalFormatting>
  <conditionalFormatting sqref="C494">
    <cfRule type="containsText" dxfId="2" priority="185" operator="containsText" text="CANCELLED">
      <formula>NOT(ISERROR(SEARCH(("CANCELLED"),(C494))))</formula>
    </cfRule>
  </conditionalFormatting>
  <conditionalFormatting sqref="C494">
    <cfRule type="containsText" dxfId="3" priority="186" operator="containsText" text="COMPLETED">
      <formula>NOT(ISERROR(SEARCH(("COMPLETED"),(C494))))</formula>
    </cfRule>
  </conditionalFormatting>
  <conditionalFormatting sqref="C493">
    <cfRule type="containsText" dxfId="1" priority="187" operator="containsText" text="IN PROGRESS">
      <formula>NOT(ISERROR(SEARCH(("IN PROGRESS"),(C493))))</formula>
    </cfRule>
  </conditionalFormatting>
  <conditionalFormatting sqref="C493">
    <cfRule type="containsText" dxfId="2" priority="188" operator="containsText" text="CANCELLED">
      <formula>NOT(ISERROR(SEARCH(("CANCELLED"),(C493))))</formula>
    </cfRule>
  </conditionalFormatting>
  <conditionalFormatting sqref="C493">
    <cfRule type="containsText" dxfId="3" priority="189" operator="containsText" text="COMPLETED">
      <formula>NOT(ISERROR(SEARCH(("COMPLETED"),(C493))))</formula>
    </cfRule>
  </conditionalFormatting>
  <conditionalFormatting sqref="C492">
    <cfRule type="containsText" dxfId="1" priority="190" operator="containsText" text="IN PROGRESS">
      <formula>NOT(ISERROR(SEARCH(("IN PROGRESS"),(C492))))</formula>
    </cfRule>
  </conditionalFormatting>
  <conditionalFormatting sqref="C492">
    <cfRule type="containsText" dxfId="2" priority="191" operator="containsText" text="CANCELLED">
      <formula>NOT(ISERROR(SEARCH(("CANCELLED"),(C492))))</formula>
    </cfRule>
  </conditionalFormatting>
  <conditionalFormatting sqref="C492">
    <cfRule type="containsText" dxfId="3" priority="192" operator="containsText" text="COMPLETED">
      <formula>NOT(ISERROR(SEARCH(("COMPLETED"),(C492))))</formula>
    </cfRule>
  </conditionalFormatting>
  <conditionalFormatting sqref="C524:C547">
    <cfRule type="containsText" dxfId="1" priority="193" operator="containsText" text="IN PROGRESS">
      <formula>NOT(ISERROR(SEARCH(("IN PROGRESS"),(C524))))</formula>
    </cfRule>
  </conditionalFormatting>
  <conditionalFormatting sqref="C524:C547">
    <cfRule type="containsText" dxfId="2" priority="194" operator="containsText" text="CANCELLED">
      <formula>NOT(ISERROR(SEARCH(("CANCELLED"),(C524))))</formula>
    </cfRule>
  </conditionalFormatting>
  <conditionalFormatting sqref="C524:C547">
    <cfRule type="containsText" dxfId="3" priority="195" operator="containsText" text="COMPLETED">
      <formula>NOT(ISERROR(SEARCH(("COMPLETED"),(C524))))</formula>
    </cfRule>
  </conditionalFormatting>
  <conditionalFormatting sqref="C523">
    <cfRule type="containsText" dxfId="1" priority="196" operator="containsText" text="IN PROGRESS">
      <formula>NOT(ISERROR(SEARCH(("IN PROGRESS"),(C523))))</formula>
    </cfRule>
  </conditionalFormatting>
  <conditionalFormatting sqref="C523">
    <cfRule type="containsText" dxfId="2" priority="197" operator="containsText" text="CANCELLED">
      <formula>NOT(ISERROR(SEARCH(("CANCELLED"),(C523))))</formula>
    </cfRule>
  </conditionalFormatting>
  <conditionalFormatting sqref="C523">
    <cfRule type="containsText" dxfId="3" priority="198" operator="containsText" text="COMPLETED">
      <formula>NOT(ISERROR(SEARCH(("COMPLETED"),(C523))))</formula>
    </cfRule>
  </conditionalFormatting>
  <conditionalFormatting sqref="C522">
    <cfRule type="containsText" dxfId="1" priority="199" operator="containsText" text="IN PROGRESS">
      <formula>NOT(ISERROR(SEARCH(("IN PROGRESS"),(C522))))</formula>
    </cfRule>
  </conditionalFormatting>
  <conditionalFormatting sqref="C522">
    <cfRule type="containsText" dxfId="2" priority="200" operator="containsText" text="CANCELLED">
      <formula>NOT(ISERROR(SEARCH(("CANCELLED"),(C522))))</formula>
    </cfRule>
  </conditionalFormatting>
  <conditionalFormatting sqref="C522">
    <cfRule type="containsText" dxfId="3" priority="201" operator="containsText" text="COMPLETED">
      <formula>NOT(ISERROR(SEARCH(("COMPLETED"),(C522))))</formula>
    </cfRule>
  </conditionalFormatting>
  <conditionalFormatting sqref="C521">
    <cfRule type="containsText" dxfId="1" priority="202" operator="containsText" text="IN PROGRESS">
      <formula>NOT(ISERROR(SEARCH(("IN PROGRESS"),(C521))))</formula>
    </cfRule>
  </conditionalFormatting>
  <conditionalFormatting sqref="C521">
    <cfRule type="containsText" dxfId="2" priority="203" operator="containsText" text="CANCELLED">
      <formula>NOT(ISERROR(SEARCH(("CANCELLED"),(C521))))</formula>
    </cfRule>
  </conditionalFormatting>
  <conditionalFormatting sqref="C521">
    <cfRule type="containsText" dxfId="3" priority="204" operator="containsText" text="COMPLETED">
      <formula>NOT(ISERROR(SEARCH(("COMPLETED"),(C521))))</formula>
    </cfRule>
  </conditionalFormatting>
  <conditionalFormatting sqref="C520">
    <cfRule type="containsText" dxfId="1" priority="205" operator="containsText" text="IN PROGRESS">
      <formula>NOT(ISERROR(SEARCH(("IN PROGRESS"),(C520))))</formula>
    </cfRule>
  </conditionalFormatting>
  <conditionalFormatting sqref="C520">
    <cfRule type="containsText" dxfId="2" priority="206" operator="containsText" text="CANCELLED">
      <formula>NOT(ISERROR(SEARCH(("CANCELLED"),(C520))))</formula>
    </cfRule>
  </conditionalFormatting>
  <conditionalFormatting sqref="C520">
    <cfRule type="containsText" dxfId="3" priority="207" operator="containsText" text="COMPLETED">
      <formula>NOT(ISERROR(SEARCH(("COMPLETED"),(C520))))</formula>
    </cfRule>
  </conditionalFormatting>
  <conditionalFormatting sqref="C552:C575">
    <cfRule type="containsText" dxfId="1" priority="208" operator="containsText" text="IN PROGRESS">
      <formula>NOT(ISERROR(SEARCH(("IN PROGRESS"),(C552))))</formula>
    </cfRule>
  </conditionalFormatting>
  <conditionalFormatting sqref="C552:C575">
    <cfRule type="containsText" dxfId="2" priority="209" operator="containsText" text="CANCELLED">
      <formula>NOT(ISERROR(SEARCH(("CANCELLED"),(C552))))</formula>
    </cfRule>
  </conditionalFormatting>
  <conditionalFormatting sqref="C552:C575">
    <cfRule type="containsText" dxfId="3" priority="210" operator="containsText" text="COMPLETED">
      <formula>NOT(ISERROR(SEARCH(("COMPLETED"),(C552))))</formula>
    </cfRule>
  </conditionalFormatting>
  <conditionalFormatting sqref="C551">
    <cfRule type="containsText" dxfId="1" priority="211" operator="containsText" text="IN PROGRESS">
      <formula>NOT(ISERROR(SEARCH(("IN PROGRESS"),(C551))))</formula>
    </cfRule>
  </conditionalFormatting>
  <conditionalFormatting sqref="C551">
    <cfRule type="containsText" dxfId="2" priority="212" operator="containsText" text="CANCELLED">
      <formula>NOT(ISERROR(SEARCH(("CANCELLED"),(C551))))</formula>
    </cfRule>
  </conditionalFormatting>
  <conditionalFormatting sqref="C551">
    <cfRule type="containsText" dxfId="3" priority="213" operator="containsText" text="COMPLETED">
      <formula>NOT(ISERROR(SEARCH(("COMPLETED"),(C551))))</formula>
    </cfRule>
  </conditionalFormatting>
  <conditionalFormatting sqref="C550">
    <cfRule type="containsText" dxfId="1" priority="214" operator="containsText" text="IN PROGRESS">
      <formula>NOT(ISERROR(SEARCH(("IN PROGRESS"),(C550))))</formula>
    </cfRule>
  </conditionalFormatting>
  <conditionalFormatting sqref="C550">
    <cfRule type="containsText" dxfId="2" priority="215" operator="containsText" text="CANCELLED">
      <formula>NOT(ISERROR(SEARCH(("CANCELLED"),(C550))))</formula>
    </cfRule>
  </conditionalFormatting>
  <conditionalFormatting sqref="C550">
    <cfRule type="containsText" dxfId="3" priority="216" operator="containsText" text="COMPLETED">
      <formula>NOT(ISERROR(SEARCH(("COMPLETED"),(C550))))</formula>
    </cfRule>
  </conditionalFormatting>
  <conditionalFormatting sqref="C549">
    <cfRule type="containsText" dxfId="1" priority="217" operator="containsText" text="IN PROGRESS">
      <formula>NOT(ISERROR(SEARCH(("IN PROGRESS"),(C549))))</formula>
    </cfRule>
  </conditionalFormatting>
  <conditionalFormatting sqref="C549">
    <cfRule type="containsText" dxfId="2" priority="218" operator="containsText" text="CANCELLED">
      <formula>NOT(ISERROR(SEARCH(("CANCELLED"),(C549))))</formula>
    </cfRule>
  </conditionalFormatting>
  <conditionalFormatting sqref="C549">
    <cfRule type="containsText" dxfId="3" priority="219" operator="containsText" text="COMPLETED">
      <formula>NOT(ISERROR(SEARCH(("COMPLETED"),(C549))))</formula>
    </cfRule>
  </conditionalFormatting>
  <conditionalFormatting sqref="C548">
    <cfRule type="containsText" dxfId="1" priority="220" operator="containsText" text="IN PROGRESS">
      <formula>NOT(ISERROR(SEARCH(("IN PROGRESS"),(C548))))</formula>
    </cfRule>
  </conditionalFormatting>
  <conditionalFormatting sqref="C548">
    <cfRule type="containsText" dxfId="2" priority="221" operator="containsText" text="CANCELLED">
      <formula>NOT(ISERROR(SEARCH(("CANCELLED"),(C548))))</formula>
    </cfRule>
  </conditionalFormatting>
  <conditionalFormatting sqref="C548">
    <cfRule type="containsText" dxfId="3" priority="222" operator="containsText" text="COMPLETED">
      <formula>NOT(ISERROR(SEARCH(("COMPLETED"),(C548))))</formula>
    </cfRule>
  </conditionalFormatting>
  <conditionalFormatting sqref="C580:C603">
    <cfRule type="containsText" dxfId="1" priority="223" operator="containsText" text="IN PROGRESS">
      <formula>NOT(ISERROR(SEARCH(("IN PROGRESS"),(C580))))</formula>
    </cfRule>
  </conditionalFormatting>
  <conditionalFormatting sqref="C580:C603">
    <cfRule type="containsText" dxfId="2" priority="224" operator="containsText" text="CANCELLED">
      <formula>NOT(ISERROR(SEARCH(("CANCELLED"),(C580))))</formula>
    </cfRule>
  </conditionalFormatting>
  <conditionalFormatting sqref="C580:C603">
    <cfRule type="containsText" dxfId="3" priority="225" operator="containsText" text="COMPLETED">
      <formula>NOT(ISERROR(SEARCH(("COMPLETED"),(C580))))</formula>
    </cfRule>
  </conditionalFormatting>
  <conditionalFormatting sqref="C579">
    <cfRule type="containsText" dxfId="1" priority="226" operator="containsText" text="IN PROGRESS">
      <formula>NOT(ISERROR(SEARCH(("IN PROGRESS"),(C579))))</formula>
    </cfRule>
  </conditionalFormatting>
  <conditionalFormatting sqref="C579">
    <cfRule type="containsText" dxfId="2" priority="227" operator="containsText" text="CANCELLED">
      <formula>NOT(ISERROR(SEARCH(("CANCELLED"),(C579))))</formula>
    </cfRule>
  </conditionalFormatting>
  <conditionalFormatting sqref="C579">
    <cfRule type="containsText" dxfId="3" priority="228" operator="containsText" text="COMPLETED">
      <formula>NOT(ISERROR(SEARCH(("COMPLETED"),(C579))))</formula>
    </cfRule>
  </conditionalFormatting>
  <conditionalFormatting sqref="C578">
    <cfRule type="containsText" dxfId="1" priority="229" operator="containsText" text="IN PROGRESS">
      <formula>NOT(ISERROR(SEARCH(("IN PROGRESS"),(C578))))</formula>
    </cfRule>
  </conditionalFormatting>
  <conditionalFormatting sqref="C578">
    <cfRule type="containsText" dxfId="2" priority="230" operator="containsText" text="CANCELLED">
      <formula>NOT(ISERROR(SEARCH(("CANCELLED"),(C578))))</formula>
    </cfRule>
  </conditionalFormatting>
  <conditionalFormatting sqref="C578">
    <cfRule type="containsText" dxfId="3" priority="231" operator="containsText" text="COMPLETED">
      <formula>NOT(ISERROR(SEARCH(("COMPLETED"),(C578))))</formula>
    </cfRule>
  </conditionalFormatting>
  <conditionalFormatting sqref="C577">
    <cfRule type="containsText" dxfId="1" priority="232" operator="containsText" text="IN PROGRESS">
      <formula>NOT(ISERROR(SEARCH(("IN PROGRESS"),(C577))))</formula>
    </cfRule>
  </conditionalFormatting>
  <conditionalFormatting sqref="C577">
    <cfRule type="containsText" dxfId="2" priority="233" operator="containsText" text="CANCELLED">
      <formula>NOT(ISERROR(SEARCH(("CANCELLED"),(C577))))</formula>
    </cfRule>
  </conditionalFormatting>
  <conditionalFormatting sqref="C577">
    <cfRule type="containsText" dxfId="3" priority="234" operator="containsText" text="COMPLETED">
      <formula>NOT(ISERROR(SEARCH(("COMPLETED"),(C577))))</formula>
    </cfRule>
  </conditionalFormatting>
  <conditionalFormatting sqref="C576">
    <cfRule type="containsText" dxfId="1" priority="235" operator="containsText" text="IN PROGRESS">
      <formula>NOT(ISERROR(SEARCH(("IN PROGRESS"),(C576))))</formula>
    </cfRule>
  </conditionalFormatting>
  <conditionalFormatting sqref="C576">
    <cfRule type="containsText" dxfId="2" priority="236" operator="containsText" text="CANCELLED">
      <formula>NOT(ISERROR(SEARCH(("CANCELLED"),(C576))))</formula>
    </cfRule>
  </conditionalFormatting>
  <conditionalFormatting sqref="C576">
    <cfRule type="containsText" dxfId="3" priority="237" operator="containsText" text="COMPLETED">
      <formula>NOT(ISERROR(SEARCH(("COMPLETED"),(C576))))</formula>
    </cfRule>
  </conditionalFormatting>
  <conditionalFormatting sqref="C608:C631">
    <cfRule type="containsText" dxfId="1" priority="238" operator="containsText" text="IN PROGRESS">
      <formula>NOT(ISERROR(SEARCH(("IN PROGRESS"),(C608))))</formula>
    </cfRule>
  </conditionalFormatting>
  <conditionalFormatting sqref="C608:C631">
    <cfRule type="containsText" dxfId="2" priority="239" operator="containsText" text="CANCELLED">
      <formula>NOT(ISERROR(SEARCH(("CANCELLED"),(C608))))</formula>
    </cfRule>
  </conditionalFormatting>
  <conditionalFormatting sqref="C608:C631">
    <cfRule type="containsText" dxfId="3" priority="240" operator="containsText" text="COMPLETED">
      <formula>NOT(ISERROR(SEARCH(("COMPLETED"),(C608))))</formula>
    </cfRule>
  </conditionalFormatting>
  <conditionalFormatting sqref="C607">
    <cfRule type="containsText" dxfId="1" priority="241" operator="containsText" text="IN PROGRESS">
      <formula>NOT(ISERROR(SEARCH(("IN PROGRESS"),(C607))))</formula>
    </cfRule>
  </conditionalFormatting>
  <conditionalFormatting sqref="C607">
    <cfRule type="containsText" dxfId="2" priority="242" operator="containsText" text="CANCELLED">
      <formula>NOT(ISERROR(SEARCH(("CANCELLED"),(C607))))</formula>
    </cfRule>
  </conditionalFormatting>
  <conditionalFormatting sqref="C607">
    <cfRule type="containsText" dxfId="3" priority="243" operator="containsText" text="COMPLETED">
      <formula>NOT(ISERROR(SEARCH(("COMPLETED"),(C607))))</formula>
    </cfRule>
  </conditionalFormatting>
  <conditionalFormatting sqref="C606">
    <cfRule type="containsText" dxfId="1" priority="244" operator="containsText" text="IN PROGRESS">
      <formula>NOT(ISERROR(SEARCH(("IN PROGRESS"),(C606))))</formula>
    </cfRule>
  </conditionalFormatting>
  <conditionalFormatting sqref="C606">
    <cfRule type="containsText" dxfId="2" priority="245" operator="containsText" text="CANCELLED">
      <formula>NOT(ISERROR(SEARCH(("CANCELLED"),(C606))))</formula>
    </cfRule>
  </conditionalFormatting>
  <conditionalFormatting sqref="C606">
    <cfRule type="containsText" dxfId="3" priority="246" operator="containsText" text="COMPLETED">
      <formula>NOT(ISERROR(SEARCH(("COMPLETED"),(C606))))</formula>
    </cfRule>
  </conditionalFormatting>
  <conditionalFormatting sqref="C605">
    <cfRule type="containsText" dxfId="1" priority="247" operator="containsText" text="IN PROGRESS">
      <formula>NOT(ISERROR(SEARCH(("IN PROGRESS"),(C605))))</formula>
    </cfRule>
  </conditionalFormatting>
  <conditionalFormatting sqref="C605">
    <cfRule type="containsText" dxfId="2" priority="248" operator="containsText" text="CANCELLED">
      <formula>NOT(ISERROR(SEARCH(("CANCELLED"),(C605))))</formula>
    </cfRule>
  </conditionalFormatting>
  <conditionalFormatting sqref="C605">
    <cfRule type="containsText" dxfId="3" priority="249" operator="containsText" text="COMPLETED">
      <formula>NOT(ISERROR(SEARCH(("COMPLETED"),(C605))))</formula>
    </cfRule>
  </conditionalFormatting>
  <conditionalFormatting sqref="C604">
    <cfRule type="containsText" dxfId="1" priority="250" operator="containsText" text="IN PROGRESS">
      <formula>NOT(ISERROR(SEARCH(("IN PROGRESS"),(C604))))</formula>
    </cfRule>
  </conditionalFormatting>
  <conditionalFormatting sqref="C604">
    <cfRule type="containsText" dxfId="2" priority="251" operator="containsText" text="CANCELLED">
      <formula>NOT(ISERROR(SEARCH(("CANCELLED"),(C604))))</formula>
    </cfRule>
  </conditionalFormatting>
  <conditionalFormatting sqref="C604">
    <cfRule type="containsText" dxfId="3" priority="252" operator="containsText" text="COMPLETED">
      <formula>NOT(ISERROR(SEARCH(("COMPLETED"),(C604))))</formula>
    </cfRule>
  </conditionalFormatting>
  <conditionalFormatting sqref="C636:C659">
    <cfRule type="containsText" dxfId="1" priority="253" operator="containsText" text="IN PROGRESS">
      <formula>NOT(ISERROR(SEARCH(("IN PROGRESS"),(C636))))</formula>
    </cfRule>
  </conditionalFormatting>
  <conditionalFormatting sqref="C636:C659">
    <cfRule type="containsText" dxfId="2" priority="254" operator="containsText" text="CANCELLED">
      <formula>NOT(ISERROR(SEARCH(("CANCELLED"),(C636))))</formula>
    </cfRule>
  </conditionalFormatting>
  <conditionalFormatting sqref="C636:C659">
    <cfRule type="containsText" dxfId="3" priority="255" operator="containsText" text="COMPLETED">
      <formula>NOT(ISERROR(SEARCH(("COMPLETED"),(C636))))</formula>
    </cfRule>
  </conditionalFormatting>
  <conditionalFormatting sqref="C635">
    <cfRule type="containsText" dxfId="1" priority="256" operator="containsText" text="IN PROGRESS">
      <formula>NOT(ISERROR(SEARCH(("IN PROGRESS"),(C635))))</formula>
    </cfRule>
  </conditionalFormatting>
  <conditionalFormatting sqref="C635">
    <cfRule type="containsText" dxfId="2" priority="257" operator="containsText" text="CANCELLED">
      <formula>NOT(ISERROR(SEARCH(("CANCELLED"),(C635))))</formula>
    </cfRule>
  </conditionalFormatting>
  <conditionalFormatting sqref="C635">
    <cfRule type="containsText" dxfId="3" priority="258" operator="containsText" text="COMPLETED">
      <formula>NOT(ISERROR(SEARCH(("COMPLETED"),(C635))))</formula>
    </cfRule>
  </conditionalFormatting>
  <conditionalFormatting sqref="C634">
    <cfRule type="containsText" dxfId="1" priority="259" operator="containsText" text="IN PROGRESS">
      <formula>NOT(ISERROR(SEARCH(("IN PROGRESS"),(C634))))</formula>
    </cfRule>
  </conditionalFormatting>
  <conditionalFormatting sqref="C634">
    <cfRule type="containsText" dxfId="2" priority="260" operator="containsText" text="CANCELLED">
      <formula>NOT(ISERROR(SEARCH(("CANCELLED"),(C634))))</formula>
    </cfRule>
  </conditionalFormatting>
  <conditionalFormatting sqref="C634">
    <cfRule type="containsText" dxfId="3" priority="261" operator="containsText" text="COMPLETED">
      <formula>NOT(ISERROR(SEARCH(("COMPLETED"),(C634))))</formula>
    </cfRule>
  </conditionalFormatting>
  <conditionalFormatting sqref="C633">
    <cfRule type="containsText" dxfId="1" priority="262" operator="containsText" text="IN PROGRESS">
      <formula>NOT(ISERROR(SEARCH(("IN PROGRESS"),(C633))))</formula>
    </cfRule>
  </conditionalFormatting>
  <conditionalFormatting sqref="C633">
    <cfRule type="containsText" dxfId="2" priority="263" operator="containsText" text="CANCELLED">
      <formula>NOT(ISERROR(SEARCH(("CANCELLED"),(C633))))</formula>
    </cfRule>
  </conditionalFormatting>
  <conditionalFormatting sqref="C633">
    <cfRule type="containsText" dxfId="3" priority="264" operator="containsText" text="COMPLETED">
      <formula>NOT(ISERROR(SEARCH(("COMPLETED"),(C633))))</formula>
    </cfRule>
  </conditionalFormatting>
  <conditionalFormatting sqref="C632">
    <cfRule type="containsText" dxfId="1" priority="265" operator="containsText" text="IN PROGRESS">
      <formula>NOT(ISERROR(SEARCH(("IN PROGRESS"),(C632))))</formula>
    </cfRule>
  </conditionalFormatting>
  <conditionalFormatting sqref="C632">
    <cfRule type="containsText" dxfId="2" priority="266" operator="containsText" text="CANCELLED">
      <formula>NOT(ISERROR(SEARCH(("CANCELLED"),(C632))))</formula>
    </cfRule>
  </conditionalFormatting>
  <conditionalFormatting sqref="C632">
    <cfRule type="containsText" dxfId="3" priority="267" operator="containsText" text="COMPLETED">
      <formula>NOT(ISERROR(SEARCH(("COMPLETED"),(C632))))</formula>
    </cfRule>
  </conditionalFormatting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2018-08-09T14:48:51Z</dcterms:created>
  <dc:creator>Bruno.Devesa@esab.com.br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ACOMPANHAMENTO DE PROJETOS.xlsm</vt:lpwstr>
  </property>
</Properties>
</file>